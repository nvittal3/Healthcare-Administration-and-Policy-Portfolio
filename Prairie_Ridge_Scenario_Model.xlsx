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uide" sheetId="1" state="visible" r:id="rId3"/>
    <sheet name="Inputs" sheetId="2" state="visible" r:id="rId4"/>
    <sheet name="Baseline" sheetId="3" state="visible" r:id="rId5"/>
    <sheet name="Headwinds" sheetId="4" state="visible" r:id="rId6"/>
    <sheet name="Initiatives" sheetId="5" state="visible" r:id="rId7"/>
    <sheet name="Scenarios" sheetId="6" state="visible" r:id="rId8"/>
    <sheet name="Sensitivity" sheetId="7" state="visible" r:id="rId9"/>
    <sheet name="AI_ROI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<sst xmlns="http://schemas.openxmlformats.org/spreadsheetml/2006/main" count="369" uniqueCount="260">
  <si>
    <t xml:space="preserve">Prairie Ridge Community Hospital: Scenario Model</t>
  </si>
  <si>
    <t xml:space="preserve">Illustrative case study model. Prairie Ridge is a fictional hospital; all hospital figures are assumptions. $ millions unless noted.</t>
  </si>
  <si>
    <t xml:space="preserve">Purpose</t>
  </si>
  <si>
    <t xml:space="preserve">Compares three FY2028 strategies for a 25-bed rural hospital: A) hold as a Critical Access Hospital, B) convert to a Rural Emergency Hospital (REH), C) transform as a CAH (recommended).</t>
  </si>
  <si>
    <t xml:space="preserve">How to use</t>
  </si>
  <si>
    <t xml:space="preserve">Change blue cells on the Inputs sheet (and the blue cells on Initiatives, Sensitivity and AI_ROI). Every other number recalculates.</t>
  </si>
  <si>
    <t xml:space="preserve">Colour legend</t>
  </si>
  <si>
    <t xml:space="preserve">Blue text = hardcoded input. Black = formula. Green = link to another sheet. Yellow fill = key assumption to test first.</t>
  </si>
  <si>
    <t xml:space="preserve">Inputs</t>
  </si>
  <si>
    <t xml:space="preserve">Every assumption in one place, with its source or a note saying it is an illustrative assumption.</t>
  </si>
  <si>
    <t xml:space="preserve">Baseline</t>
  </si>
  <si>
    <t xml:space="preserve">FY2026 revenue, expenses, margin and payer mix.</t>
  </si>
  <si>
    <t xml:space="preserve">Headwinds</t>
  </si>
  <si>
    <t xml:space="preserve">Revenue lost to the Medicaid work requirements, ACA subsidy expiration and state Medicaid financing pressure, plus the loss by payer.</t>
  </si>
  <si>
    <t xml:space="preserve">Initiatives</t>
  </si>
  <si>
    <t xml:space="preserve">The six transformation initiatives with gains, new costs, AI tooling and operating tie-outs.</t>
  </si>
  <si>
    <t xml:space="preserve">Scenarios</t>
  </si>
  <si>
    <t xml:space="preserve">Side-by-side FY2028 revenue, expenses, result, margin and FTEs, with a tie-out to the case study.</t>
  </si>
  <si>
    <t xml:space="preserve">Sensitivity</t>
  </si>
  <si>
    <t xml:space="preserve">Tornado table (each assumption moved alone) and stress cases against the -3.0% REH trigger.</t>
  </si>
  <si>
    <t xml:space="preserve">AI_ROI</t>
  </si>
  <si>
    <t xml:space="preserve">Tooling cost against attributable benefit for three AI tools, with low, base and high cases and a break-even point.</t>
  </si>
  <si>
    <t xml:space="preserve">Sources</t>
  </si>
  <si>
    <t xml:space="preserve">REH monthly facility payment: CMS MLN Fact Sheet MLN2259384 (Dec 2025), https://www.cms.gov/files/document/mln2259384-rural-emergency-hospitals.pdf. Dispute-fee and batching changes: Jones Day, 8 Jun 2026, https://www.jonesday.com/en/insights/2026/06/new-rule-amends-no-surprises-act-dispute-process-for-outofnetwork-health-care-payments. Everything else is an illustrative assumption.</t>
  </si>
  <si>
    <t xml:space="preserve">Rounding</t>
  </si>
  <si>
    <t xml:space="preserve">Headwinds, the Medicare outpatient shift and the REH payment are rounded to $0.01M so the model ties to the case study figures.</t>
  </si>
  <si>
    <t xml:space="preserve">Blue = input. Yellow = key assumption. Every value is an illustrative assumption unless the note cites a source.</t>
  </si>
  <si>
    <t xml:space="preserve">Assumption</t>
  </si>
  <si>
    <t xml:space="preserve">Value</t>
  </si>
  <si>
    <t xml:space="preserve">Unit</t>
  </si>
  <si>
    <t xml:space="preserve">Source or note</t>
  </si>
  <si>
    <t xml:space="preserve">Baseline revenue, FY2026</t>
  </si>
  <si>
    <t xml:space="preserve">Inpatient and swing-bed revenue</t>
  </si>
  <si>
    <t xml:space="preserve">$M</t>
  </si>
  <si>
    <t xml:space="preserve">Illustrative assumption</t>
  </si>
  <si>
    <t xml:space="preserve">Emergency department revenue</t>
  </si>
  <si>
    <t xml:space="preserve">Outpatient and ancillary revenue</t>
  </si>
  <si>
    <t xml:space="preserve">Other operating revenue</t>
  </si>
  <si>
    <t xml:space="preserve">Baseline expenses, FY2026</t>
  </si>
  <si>
    <t xml:space="preserve">Salaries and benefits</t>
  </si>
  <si>
    <t xml:space="preserve">Supplies and pharmacy</t>
  </si>
  <si>
    <t xml:space="preserve">Purchased services and contracted physicians</t>
  </si>
  <si>
    <t xml:space="preserve">Depreciation and interest</t>
  </si>
  <si>
    <t xml:space="preserve">Other expenses</t>
  </si>
  <si>
    <t xml:space="preserve">Payer mix (share of net patient service revenue)</t>
  </si>
  <si>
    <t xml:space="preserve">Medicare</t>
  </si>
  <si>
    <t xml:space="preserve">%</t>
  </si>
  <si>
    <t xml:space="preserve">Medicaid</t>
  </si>
  <si>
    <t xml:space="preserve">Commercial</t>
  </si>
  <si>
    <t xml:space="preserve">Self-pay</t>
  </si>
  <si>
    <t xml:space="preserve">Illustrative assumption; shares must sum to 100%</t>
  </si>
  <si>
    <t xml:space="preserve">Operations</t>
  </si>
  <si>
    <t xml:space="preserve">Full-time equivalents (FTEs)</t>
  </si>
  <si>
    <t xml:space="preserve">FTEs</t>
  </si>
  <si>
    <t xml:space="preserve">ED visits per year</t>
  </si>
  <si>
    <t xml:space="preserve">visits</t>
  </si>
  <si>
    <t xml:space="preserve">Inpatient admissions per year</t>
  </si>
  <si>
    <t xml:space="preserve">admissions</t>
  </si>
  <si>
    <t xml:space="preserve">Average daily inpatient census</t>
  </si>
  <si>
    <t xml:space="preserve">patients</t>
  </si>
  <si>
    <t xml:space="preserve">Federal policy headwinds</t>
  </si>
  <si>
    <t xml:space="preserve">Expansion adults as share of Medicaid revenue</t>
  </si>
  <si>
    <t xml:space="preserve">Expansion adults losing coverage after work requirements</t>
  </si>
  <si>
    <t xml:space="preserve">Illustrative assumption; work requirements due by Jan 1, 2027 under OBBBA</t>
  </si>
  <si>
    <t xml:space="preserve">Marketplace plans as share of commercial revenue</t>
  </si>
  <si>
    <t xml:space="preserve">Marketplace enrollees who drop coverage</t>
  </si>
  <si>
    <t xml:space="preserve">Illustrative assumption; enhanced premium tax credits expired Dec 31, 2025</t>
  </si>
  <si>
    <t xml:space="preserve">State supplemental Medicaid payment cut (share of Medicaid revenue)</t>
  </si>
  <si>
    <t xml:space="preserve">Illustrative assumption; provider-tax reductions begin Oct 1, 2027</t>
  </si>
  <si>
    <t xml:space="preserve">Rural Emergency Hospital (REH) inputs</t>
  </si>
  <si>
    <t xml:space="preserve">REH monthly facility payment, CY2026</t>
  </si>
  <si>
    <t xml:space="preserve">$</t>
  </si>
  <si>
    <t xml:space="preserve">Source: CMS MLN Fact Sheet MLN2259384, Dec 2025 (after sequestration)</t>
  </si>
  <si>
    <t xml:space="preserve">Months of facility payment per year</t>
  </si>
  <si>
    <t xml:space="preserve">months</t>
  </si>
  <si>
    <t xml:space="preserve">CMS pays in 12 monthly installments</t>
  </si>
  <si>
    <t xml:space="preserve">Medicare share of ED and outpatient revenue</t>
  </si>
  <si>
    <t xml:space="preserve">Medicare outpatient payment shift under REH (OPPS + 5% vs cost-based)</t>
  </si>
  <si>
    <t xml:space="preserve">Illustrative assumption; shift is a reduction</t>
  </si>
  <si>
    <t xml:space="preserve">Observation revenue retained after conversion</t>
  </si>
  <si>
    <t xml:space="preserve">Inpatient costs removed after conversion</t>
  </si>
  <si>
    <t xml:space="preserve">FTEs removed after conversion</t>
  </si>
  <si>
    <t xml:space="preserve">Scenario C and operating inputs</t>
  </si>
  <si>
    <t xml:space="preserve">Net FTEs added in Scenario C</t>
  </si>
  <si>
    <t xml:space="preserve">ED transfer rate, baseline</t>
  </si>
  <si>
    <t xml:space="preserve">ED transfer rate, target</t>
  </si>
  <si>
    <t xml:space="preserve">Illustrative target</t>
  </si>
  <si>
    <t xml:space="preserve">Days in accounts receivable, baseline</t>
  </si>
  <si>
    <t xml:space="preserve">days</t>
  </si>
  <si>
    <t xml:space="preserve">Days in accounts receivable, target</t>
  </si>
  <si>
    <t xml:space="preserve">Eligible out-of-network emergency claims per year</t>
  </si>
  <si>
    <t xml:space="preserve">claims</t>
  </si>
  <si>
    <t xml:space="preserve">Average incremental recovery per claim</t>
  </si>
  <si>
    <t xml:space="preserve">REH review trigger: operating margin below</t>
  </si>
  <si>
    <t xml:space="preserve">Board policy trigger (case study Section 3, Part D)</t>
  </si>
  <si>
    <t xml:space="preserve">Stress case: share of initiative revenue delivered</t>
  </si>
  <si>
    <t xml:space="preserve">Illustrative stress case</t>
  </si>
  <si>
    <t xml:space="preserve">Stress case: Medicare outpatient shift under REH</t>
  </si>
  <si>
    <t xml:space="preserve">Check: payer mix sums to 100%</t>
  </si>
  <si>
    <t xml:space="preserve">Baseline: FY2026</t>
  </si>
  <si>
    <t xml:space="preserve">$ millions. Links to Inputs.</t>
  </si>
  <si>
    <t xml:space="preserve">Revenue ($M)</t>
  </si>
  <si>
    <t xml:space="preserve">FY2026</t>
  </si>
  <si>
    <t xml:space="preserve">Inpatient and swing-bed</t>
  </si>
  <si>
    <t xml:space="preserve">Emergency department</t>
  </si>
  <si>
    <t xml:space="preserve">Outpatient and ancillary</t>
  </si>
  <si>
    <t xml:space="preserve">Net patient service revenue</t>
  </si>
  <si>
    <t xml:space="preserve">Total operating revenue</t>
  </si>
  <si>
    <t xml:space="preserve">Expenses ($M)</t>
  </si>
  <si>
    <t xml:space="preserve">Other</t>
  </si>
  <si>
    <t xml:space="preserve">Total operating expenses</t>
  </si>
  <si>
    <t xml:space="preserve">Operating result ($M)</t>
  </si>
  <si>
    <t xml:space="preserve">Operating margin</t>
  </si>
  <si>
    <t xml:space="preserve">Payer mix</t>
  </si>
  <si>
    <t xml:space="preserve">Share of net patient revenue</t>
  </si>
  <si>
    <t xml:space="preserve">Total</t>
  </si>
  <si>
    <t xml:space="preserve">Check: payer revenue ties to net patient service revenue</t>
  </si>
  <si>
    <t xml:space="preserve">Payer revenue is rounded to $0.1M to match the case study.</t>
  </si>
  <si>
    <t xml:space="preserve">Federal policy headwinds, FY2028</t>
  </si>
  <si>
    <t xml:space="preserve">$ millions. Each impact is rounded to $0.01M.</t>
  </si>
  <si>
    <t xml:space="preserve">Headwind</t>
  </si>
  <si>
    <t xml:space="preserve">Revenue exposed ($M)</t>
  </si>
  <si>
    <t xml:space="preserve">Rate</t>
  </si>
  <si>
    <t xml:space="preserve">Annual revenue impact ($M)</t>
  </si>
  <si>
    <t xml:space="preserve">Starts</t>
  </si>
  <si>
    <t xml:space="preserve">Medicaid work requirements</t>
  </si>
  <si>
    <t xml:space="preserve">Jan 1, 2027</t>
  </si>
  <si>
    <t xml:space="preserve">Marketplace subsidy expiration</t>
  </si>
  <si>
    <t xml:space="preserve">Jan 1, 2026</t>
  </si>
  <si>
    <t xml:space="preserve">State Medicaid financing pressure</t>
  </si>
  <si>
    <t xml:space="preserve">FY2028</t>
  </si>
  <si>
    <t xml:space="preserve">Headwinds as share of operating revenue</t>
  </si>
  <si>
    <t xml:space="preserve">Loss by payer</t>
  </si>
  <si>
    <t xml:space="preserve">Revenue lost ($M)</t>
  </si>
  <si>
    <t xml:space="preserve">Share of loss</t>
  </si>
  <si>
    <t xml:space="preserve">Medicare and self-pay carry no modeled loss (assumption, blue zeros).</t>
  </si>
  <si>
    <t xml:space="preserve">Scenario C: six transformation initiatives</t>
  </si>
  <si>
    <t xml:space="preserve">Run-rate by FY2028, $ millions. Blue = input.</t>
  </si>
  <si>
    <t xml:space="preserve">#</t>
  </si>
  <si>
    <t xml:space="preserve">Initiative</t>
  </si>
  <si>
    <t xml:space="preserve">Type</t>
  </si>
  <si>
    <t xml:space="preserve">Gain or savings ($M)</t>
  </si>
  <si>
    <t xml:space="preserve">New annual cost ($M)</t>
  </si>
  <si>
    <t xml:space="preserve">Net ($M)</t>
  </si>
  <si>
    <t xml:space="preserve">AI tooling inside new cost ($M)</t>
  </si>
  <si>
    <t xml:space="preserve">AI-tooled?</t>
  </si>
  <si>
    <t xml:space="preserve">Policy hook</t>
  </si>
  <si>
    <t xml:space="preserve">Primary care and behavioral health clinic expansion</t>
  </si>
  <si>
    <t xml:space="preserve">Revenue</t>
  </si>
  <si>
    <t xml:space="preserve">Y</t>
  </si>
  <si>
    <t xml:space="preserve">RHTP access and workforce priorities</t>
  </si>
  <si>
    <t xml:space="preserve">Tele-emergency and telepsychiatry</t>
  </si>
  <si>
    <t xml:space="preserve">RHTP technology priorities</t>
  </si>
  <si>
    <t xml:space="preserve">Swing-bed utilization program</t>
  </si>
  <si>
    <t xml:space="preserve">N</t>
  </si>
  <si>
    <t xml:space="preserve">CAH cost-based payment</t>
  </si>
  <si>
    <t xml:space="preserve">Revenue cycle upgrade and No Surprises Act dispute desk</t>
  </si>
  <si>
    <t xml:space="preserve">May 2026 IDR rule: $15 fee, 50-line batching</t>
  </si>
  <si>
    <t xml:space="preserve">Supply chain and purchased-services renegotiation</t>
  </si>
  <si>
    <t xml:space="preserve">Savings</t>
  </si>
  <si>
    <t xml:space="preserve">Margin protection</t>
  </si>
  <si>
    <t xml:space="preserve">Retention program and float pool to cut agency labor</t>
  </si>
  <si>
    <t xml:space="preserve">Workforce stability</t>
  </si>
  <si>
    <t xml:space="preserve">Summary</t>
  </si>
  <si>
    <t xml:space="preserve">Revenue-type gains ($M)</t>
  </si>
  <si>
    <t xml:space="preserve">Cost savings ($M)</t>
  </si>
  <si>
    <t xml:space="preserve">Gross gain in AI-tooled initiatives ($M)</t>
  </si>
  <si>
    <t xml:space="preserve">AI-tooled share of gross gain</t>
  </si>
  <si>
    <t xml:space="preserve">AI tooling as share of new cost</t>
  </si>
  <si>
    <t xml:space="preserve">Operating checks</t>
  </si>
  <si>
    <t xml:space="preserve">ED transfers per year, baseline</t>
  </si>
  <si>
    <t xml:space="preserve">ED transfers per year, target</t>
  </si>
  <si>
    <t xml:space="preserve">Transfers avoided per year</t>
  </si>
  <si>
    <t xml:space="preserve">One-time cash from fewer A/R days ($M)</t>
  </si>
  <si>
    <t xml:space="preserve">Dispute-desk recoveries from claim count ($M)</t>
  </si>
  <si>
    <t xml:space="preserve">Difference vs initiative 4 gain ($M)</t>
  </si>
  <si>
    <t xml:space="preserve">Expansion-adult Medicaid revenue ($M)</t>
  </si>
  <si>
    <t xml:space="preserve">Disenrollment rate with outreach (option)</t>
  </si>
  <si>
    <t xml:space="preserve">Coverage-outreach benefit ($M, outside base plan)</t>
  </si>
  <si>
    <t xml:space="preserve">Type must be Revenue or Savings; SUMIF formulas use it. AI tooling and AI-tooled flags are assumptions (initiatives 5 and 6 carry no separate AI budget).</t>
  </si>
  <si>
    <t xml:space="preserve">FY2028 scenario comparison</t>
  </si>
  <si>
    <t xml:space="preserve">$ millions, steady state. Headwinds apply to all three; expenses held at FY2026 dollars.</t>
  </si>
  <si>
    <t xml:space="preserve">Line ($M)</t>
  </si>
  <si>
    <t xml:space="preserve">A: Hold as CAH</t>
  </si>
  <si>
    <t xml:space="preserve">B: Convert to REH</t>
  </si>
  <si>
    <t xml:space="preserve">C: CAH transformation</t>
  </si>
  <si>
    <t xml:space="preserve">Baseline operating revenue</t>
  </si>
  <si>
    <t xml:space="preserve">Federal headwinds</t>
  </si>
  <si>
    <t xml:space="preserve">Inpatient and swing revenue lost</t>
  </si>
  <si>
    <t xml:space="preserve">Observation stays retained</t>
  </si>
  <si>
    <t xml:space="preserve">Medicare outpatient shift to OPPS</t>
  </si>
  <si>
    <t xml:space="preserve">REH monthly facility payment</t>
  </si>
  <si>
    <t xml:space="preserve">Initiative revenue gains</t>
  </si>
  <si>
    <t xml:space="preserve">Operating revenue</t>
  </si>
  <si>
    <t xml:space="preserve">Baseline operating expenses</t>
  </si>
  <si>
    <t xml:space="preserve">Inpatient costs removed</t>
  </si>
  <si>
    <t xml:space="preserve">New program costs</t>
  </si>
  <si>
    <t xml:space="preserve">Cost savings</t>
  </si>
  <si>
    <t xml:space="preserve">Operating expenses</t>
  </si>
  <si>
    <t xml:space="preserve">Below REH trigger?</t>
  </si>
  <si>
    <t xml:space="preserve">Decision metrics</t>
  </si>
  <si>
    <t xml:space="preserve">Net revenue effect of REH conversion, before headwinds ($M)</t>
  </si>
  <si>
    <t xml:space="preserve">REH result after revenue changes, before cost cuts ($M)</t>
  </si>
  <si>
    <t xml:space="preserve">Scenario C result improvement vs Scenario A ($M)</t>
  </si>
  <si>
    <t xml:space="preserve">Tie-out to case study</t>
  </si>
  <si>
    <t xml:space="preserve">A</t>
  </si>
  <si>
    <t xml:space="preserve">B</t>
  </si>
  <si>
    <t xml:space="preserve">C</t>
  </si>
  <si>
    <t xml:space="preserve">Case-study margin (typed from the case study)</t>
  </si>
  <si>
    <t xml:space="preserve">Model margin, rounded to 0.1%</t>
  </si>
  <si>
    <t xml:space="preserve">Status</t>
  </si>
  <si>
    <t xml:space="preserve">Sensitivity and stress cases</t>
  </si>
  <si>
    <t xml:space="preserve">Scenario C operating result, $ millions. Each assumption moves alone. Blue = input.</t>
  </si>
  <si>
    <t xml:space="preserve">Scenario C base operating result ($M)</t>
  </si>
  <si>
    <t xml:space="preserve">Base</t>
  </si>
  <si>
    <t xml:space="preserve">Worse case</t>
  </si>
  <si>
    <t xml:space="preserve">Better case</t>
  </si>
  <si>
    <t xml:space="preserve">Result, worse ($M)</t>
  </si>
  <si>
    <t xml:space="preserve">Result, better ($M)</t>
  </si>
  <si>
    <t xml:space="preserve">Swing ($M)</t>
  </si>
  <si>
    <t xml:space="preserve">Initiative revenue uplift (share of plan)</t>
  </si>
  <si>
    <t xml:space="preserve">Execution</t>
  </si>
  <si>
    <t xml:space="preserve">Cost savings realized (share of plan)</t>
  </si>
  <si>
    <t xml:space="preserve">State Medicaid financing cut</t>
  </si>
  <si>
    <t xml:space="preserve">Policy</t>
  </si>
  <si>
    <t xml:space="preserve">New program costs (share of plan)</t>
  </si>
  <si>
    <t xml:space="preserve">Medicaid expansion disenrollment</t>
  </si>
  <si>
    <t xml:space="preserve">Marketplace attrition</t>
  </si>
  <si>
    <t xml:space="preserve">Total swing, execution assumptions ($M)</t>
  </si>
  <si>
    <t xml:space="preserve">Total swing, federal policy assumptions ($M)</t>
  </si>
  <si>
    <t xml:space="preserve">Stress case</t>
  </si>
  <si>
    <t xml:space="preserve">Operating revenue ($M)</t>
  </si>
  <si>
    <t xml:space="preserve">Operating expenses ($M)</t>
  </si>
  <si>
    <t xml:space="preserve">Result ($M)</t>
  </si>
  <si>
    <t xml:space="preserve">Margin</t>
  </si>
  <si>
    <t xml:space="preserve">Scenario C: initiatives deliver only part of their revenue</t>
  </si>
  <si>
    <t xml:space="preserve">Scenario B: larger Medicare outpatient shift under REH</t>
  </si>
  <si>
    <t xml:space="preserve">Margin by scenario (feeds the comparison chart)</t>
  </si>
  <si>
    <t xml:space="preserve">Case</t>
  </si>
  <si>
    <t xml:space="preserve">Stress</t>
  </si>
  <si>
    <t xml:space="preserve">AI tooling: cost against attributable benefit</t>
  </si>
  <si>
    <t xml:space="preserve">$ millions a year. Attribution shares are illustrative assumptions, not evidence.</t>
  </si>
  <si>
    <t xml:space="preserve">Low-case benefit realization</t>
  </si>
  <si>
    <t xml:space="preserve">High-case benefit realization</t>
  </si>
  <si>
    <t xml:space="preserve">AI tool</t>
  </si>
  <si>
    <t xml:space="preserve">Linked initiative</t>
  </si>
  <si>
    <t xml:space="preserve">Annual tooling cost ($M)</t>
  </si>
  <si>
    <t xml:space="preserve">Linked initiative gain ($M)</t>
  </si>
  <si>
    <t xml:space="preserve">Share attributable to AI</t>
  </si>
  <si>
    <t xml:space="preserve">Base benefit ($M)</t>
  </si>
  <si>
    <t xml:space="preserve">Low benefit ($M)</t>
  </si>
  <si>
    <t xml:space="preserve">High benefit ($M)</t>
  </si>
  <si>
    <t xml:space="preserve">Base return (x cost)</t>
  </si>
  <si>
    <t xml:space="preserve">Revenue-cycle and dispute-claim AI</t>
  </si>
  <si>
    <t xml:space="preserve">Tele-ED decision support</t>
  </si>
  <si>
    <t xml:space="preserve">Ambient clinic documentation</t>
  </si>
  <si>
    <t xml:space="preserve">Break-even benefit realization (tooling cost / base benefit)</t>
  </si>
  <si>
    <t xml:space="preserve">Low-case return (x cost)</t>
  </si>
  <si>
    <t xml:space="preserve">High-case return (x cost)</t>
  </si>
  <si>
    <t xml:space="preserve">Supply-chain analytics (initiative 5) has no separate tooling budget and is excluded. Coverage-outreach benefit is on the Initiatives sheet.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</si>
</sst>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$#,##0.00;&quot;($&quot;#,##0.00\);\-"/>
    <numFmt numFmtId="166" formatCode="0.0%;\(0.0%\);\-"/>
    <numFmt numFmtId="167" formatCode="#,##0;\(#,##0\);\-"/>
    <numFmt numFmtId="168" formatCode="0.0"/>
    <numFmt numFmtId="169" formatCode="\$#,##0.00"/>
    <numFmt numFmtId="170" formatCode="\$#,##0"/>
    <numFmt numFmtId="171" formatCode="0%"/>
    <numFmt numFmtId="172" formatCode="\$#,##0.000;&quot;($&quot;#,##0.000\);\-"/>
    <numFmt numFmtId="173" formatCode="0.00\x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4" t="s">
        <v>3</v>
      </c>
    </row>
    <row r="5" customFormat="false" ht="30" hidden="false" customHeight="true" outlineLevel="0" collapsed="false">
      <c r="A5" s="3" t="s">
        <v>4</v>
      </c>
      <c r="B5" s="4" t="s">
        <v>5</v>
      </c>
    </row>
    <row r="6" customFormat="false" ht="30" hidden="false" customHeight="true" outlineLevel="0" collapsed="false">
      <c r="A6" s="3" t="s">
        <v>6</v>
      </c>
      <c r="B6" s="4" t="s">
        <v>7</v>
      </c>
    </row>
    <row r="7" customFormat="false" ht="18" hidden="false" customHeight="true" outlineLevel="0" collapsed="false">
      <c r="A7" s="3" t="s">
        <v>8</v>
      </c>
      <c r="B7" s="4" t="s">
        <v>9</v>
      </c>
    </row>
    <row r="8" customFormat="false" ht="18" hidden="false" customHeight="true" outlineLevel="0" collapsed="false">
      <c r="A8" s="3" t="s">
        <v>10</v>
      </c>
      <c r="B8" s="4" t="s">
        <v>11</v>
      </c>
    </row>
    <row r="9" customFormat="false" ht="30" hidden="false" customHeight="true" outlineLevel="0" collapsed="false">
      <c r="A9" s="3" t="s">
        <v>12</v>
      </c>
      <c r="B9" s="4" t="s">
        <v>13</v>
      </c>
    </row>
    <row r="10" customFormat="false" ht="18" hidden="false" customHeight="true" outlineLevel="0" collapsed="false">
      <c r="A10" s="3" t="s">
        <v>14</v>
      </c>
      <c r="B10" s="4" t="s">
        <v>15</v>
      </c>
    </row>
    <row r="11" customFormat="false" ht="18" hidden="false" customHeight="true" outlineLevel="0" collapsed="false">
      <c r="A11" s="3" t="s">
        <v>16</v>
      </c>
      <c r="B11" s="4" t="s">
        <v>17</v>
      </c>
    </row>
    <row r="12" customFormat="false" ht="18" hidden="false" customHeight="true" outlineLevel="0" collapsed="false">
      <c r="A12" s="3" t="s">
        <v>18</v>
      </c>
      <c r="B12" s="4" t="s">
        <v>19</v>
      </c>
    </row>
    <row r="13" customFormat="false" ht="30" hidden="false" customHeight="true" outlineLevel="0" collapsed="false">
      <c r="A13" s="3" t="s">
        <v>20</v>
      </c>
      <c r="B13" s="4" t="s">
        <v>21</v>
      </c>
    </row>
    <row r="14" customFormat="false" ht="57.75" hidden="false" customHeight="true" outlineLevel="0" collapsed="false">
      <c r="A14" s="3" t="s">
        <v>22</v>
      </c>
      <c r="B14" s="4" t="s">
        <v>23</v>
      </c>
    </row>
    <row r="15" customFormat="false" ht="30" hidden="false" customHeight="true" outlineLevel="0" collapsed="false">
      <c r="A15" s="3" t="s">
        <v>24</v>
      </c>
      <c r="B15" s="4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84"/>
  </cols>
  <sheetData>
    <row r="1" customFormat="false" ht="17.35" hidden="false" customHeight="false" outlineLevel="0" collapsed="false">
      <c r="A1" s="1" t="s">
        <v>8</v>
      </c>
    </row>
    <row r="2" customFormat="false" ht="15" hidden="false" customHeight="false" outlineLevel="0" collapsed="false">
      <c r="A2" s="2" t="s">
        <v>26</v>
      </c>
    </row>
    <row r="3" customFormat="false" ht="31.5" hidden="false" customHeight="true" outlineLevel="0" collapsed="false">
      <c r="A3" s="5" t="s">
        <v>27</v>
      </c>
      <c r="B3" s="6" t="s">
        <v>28</v>
      </c>
      <c r="C3" s="6" t="s">
        <v>29</v>
      </c>
      <c r="D3" s="6" t="s">
        <v>30</v>
      </c>
    </row>
    <row r="4" customFormat="false" ht="15" hidden="false" customHeight="false" outlineLevel="0" collapsed="false">
      <c r="A4" s="7" t="s">
        <v>31</v>
      </c>
      <c r="B4" s="8"/>
      <c r="C4" s="8"/>
      <c r="D4" s="8"/>
    </row>
    <row r="5" customFormat="false" ht="15" hidden="false" customHeight="false" outlineLevel="0" collapsed="false">
      <c r="A5" s="9" t="s">
        <v>32</v>
      </c>
      <c r="B5" s="10" t="n">
        <v>6.1</v>
      </c>
      <c r="C5" s="9" t="s">
        <v>33</v>
      </c>
      <c r="D5" s="11" t="s">
        <v>34</v>
      </c>
    </row>
    <row r="6" customFormat="false" ht="15" hidden="false" customHeight="false" outlineLevel="0" collapsed="false">
      <c r="A6" s="9" t="s">
        <v>35</v>
      </c>
      <c r="B6" s="10" t="n">
        <v>9.4</v>
      </c>
      <c r="C6" s="9" t="s">
        <v>33</v>
      </c>
      <c r="D6" s="11" t="s">
        <v>34</v>
      </c>
    </row>
    <row r="7" customFormat="false" ht="15" hidden="false" customHeight="false" outlineLevel="0" collapsed="false">
      <c r="A7" s="9" t="s">
        <v>36</v>
      </c>
      <c r="B7" s="10" t="n">
        <v>13.7</v>
      </c>
      <c r="C7" s="9" t="s">
        <v>33</v>
      </c>
      <c r="D7" s="11" t="s">
        <v>34</v>
      </c>
    </row>
    <row r="8" customFormat="false" ht="15" hidden="false" customHeight="false" outlineLevel="0" collapsed="false">
      <c r="A8" s="9" t="s">
        <v>37</v>
      </c>
      <c r="B8" s="10" t="n">
        <v>0.8</v>
      </c>
      <c r="C8" s="9" t="s">
        <v>33</v>
      </c>
      <c r="D8" s="11" t="s">
        <v>34</v>
      </c>
    </row>
    <row r="9" customFormat="false" ht="15" hidden="false" customHeight="false" outlineLevel="0" collapsed="false">
      <c r="A9" s="7" t="s">
        <v>38</v>
      </c>
      <c r="B9" s="8"/>
      <c r="C9" s="8"/>
      <c r="D9" s="8"/>
    </row>
    <row r="10" customFormat="false" ht="15" hidden="false" customHeight="false" outlineLevel="0" collapsed="false">
      <c r="A10" s="9" t="s">
        <v>39</v>
      </c>
      <c r="B10" s="10" t="n">
        <v>17.6</v>
      </c>
      <c r="C10" s="9" t="s">
        <v>33</v>
      </c>
      <c r="D10" s="11" t="s">
        <v>34</v>
      </c>
    </row>
    <row r="11" customFormat="false" ht="15" hidden="false" customHeight="false" outlineLevel="0" collapsed="false">
      <c r="A11" s="9" t="s">
        <v>40</v>
      </c>
      <c r="B11" s="10" t="n">
        <v>4.3</v>
      </c>
      <c r="C11" s="9" t="s">
        <v>33</v>
      </c>
      <c r="D11" s="11" t="s">
        <v>34</v>
      </c>
    </row>
    <row r="12" customFormat="false" ht="15" hidden="false" customHeight="false" outlineLevel="0" collapsed="false">
      <c r="A12" s="9" t="s">
        <v>41</v>
      </c>
      <c r="B12" s="10" t="n">
        <v>5.1</v>
      </c>
      <c r="C12" s="9" t="s">
        <v>33</v>
      </c>
      <c r="D12" s="11" t="s">
        <v>34</v>
      </c>
    </row>
    <row r="13" customFormat="false" ht="15" hidden="false" customHeight="false" outlineLevel="0" collapsed="false">
      <c r="A13" s="9" t="s">
        <v>42</v>
      </c>
      <c r="B13" s="10" t="n">
        <v>1.8</v>
      </c>
      <c r="C13" s="9" t="s">
        <v>33</v>
      </c>
      <c r="D13" s="11" t="s">
        <v>34</v>
      </c>
    </row>
    <row r="14" customFormat="false" ht="15" hidden="false" customHeight="false" outlineLevel="0" collapsed="false">
      <c r="A14" s="9" t="s">
        <v>43</v>
      </c>
      <c r="B14" s="10" t="n">
        <v>2.6</v>
      </c>
      <c r="C14" s="9" t="s">
        <v>33</v>
      </c>
      <c r="D14" s="11" t="s">
        <v>34</v>
      </c>
    </row>
    <row r="15" customFormat="false" ht="15" hidden="false" customHeight="false" outlineLevel="0" collapsed="false">
      <c r="A15" s="7" t="s">
        <v>44</v>
      </c>
      <c r="B15" s="8"/>
      <c r="C15" s="8"/>
      <c r="D15" s="8"/>
    </row>
    <row r="16" customFormat="false" ht="15" hidden="false" customHeight="false" outlineLevel="0" collapsed="false">
      <c r="A16" s="9" t="s">
        <v>45</v>
      </c>
      <c r="B16" s="12" t="n">
        <v>0.48</v>
      </c>
      <c r="C16" s="9" t="s">
        <v>46</v>
      </c>
      <c r="D16" s="11" t="s">
        <v>34</v>
      </c>
    </row>
    <row r="17" customFormat="false" ht="15" hidden="false" customHeight="false" outlineLevel="0" collapsed="false">
      <c r="A17" s="9" t="s">
        <v>47</v>
      </c>
      <c r="B17" s="12" t="n">
        <v>0.17</v>
      </c>
      <c r="C17" s="9" t="s">
        <v>46</v>
      </c>
      <c r="D17" s="11" t="s">
        <v>34</v>
      </c>
    </row>
    <row r="18" customFormat="false" ht="15" hidden="false" customHeight="false" outlineLevel="0" collapsed="false">
      <c r="A18" s="9" t="s">
        <v>48</v>
      </c>
      <c r="B18" s="12" t="n">
        <v>0.27</v>
      </c>
      <c r="C18" s="9" t="s">
        <v>46</v>
      </c>
      <c r="D18" s="11" t="s">
        <v>34</v>
      </c>
    </row>
    <row r="19" customFormat="false" ht="15" hidden="false" customHeight="false" outlineLevel="0" collapsed="false">
      <c r="A19" s="9" t="s">
        <v>49</v>
      </c>
      <c r="B19" s="12" t="n">
        <v>0.08</v>
      </c>
      <c r="C19" s="9" t="s">
        <v>46</v>
      </c>
      <c r="D19" s="11" t="s">
        <v>50</v>
      </c>
    </row>
    <row r="20" customFormat="false" ht="15" hidden="false" customHeight="false" outlineLevel="0" collapsed="false">
      <c r="A20" s="7" t="s">
        <v>51</v>
      </c>
      <c r="B20" s="8"/>
      <c r="C20" s="8"/>
      <c r="D20" s="8"/>
    </row>
    <row r="21" customFormat="false" ht="15" hidden="false" customHeight="false" outlineLevel="0" collapsed="false">
      <c r="A21" s="9" t="s">
        <v>52</v>
      </c>
      <c r="B21" s="13" t="n">
        <v>212</v>
      </c>
      <c r="C21" s="9" t="s">
        <v>53</v>
      </c>
      <c r="D21" s="11" t="s">
        <v>34</v>
      </c>
    </row>
    <row r="22" customFormat="false" ht="15" hidden="false" customHeight="false" outlineLevel="0" collapsed="false">
      <c r="A22" s="9" t="s">
        <v>54</v>
      </c>
      <c r="B22" s="13" t="n">
        <v>11400</v>
      </c>
      <c r="C22" s="9" t="s">
        <v>55</v>
      </c>
      <c r="D22" s="11" t="s">
        <v>34</v>
      </c>
    </row>
    <row r="23" customFormat="false" ht="15" hidden="false" customHeight="false" outlineLevel="0" collapsed="false">
      <c r="A23" s="9" t="s">
        <v>56</v>
      </c>
      <c r="B23" s="13" t="n">
        <v>580</v>
      </c>
      <c r="C23" s="9" t="s">
        <v>57</v>
      </c>
      <c r="D23" s="11" t="s">
        <v>34</v>
      </c>
    </row>
    <row r="24" customFormat="false" ht="15" hidden="false" customHeight="false" outlineLevel="0" collapsed="false">
      <c r="A24" s="9" t="s">
        <v>58</v>
      </c>
      <c r="B24" s="14" t="n">
        <v>6.2</v>
      </c>
      <c r="C24" s="9" t="s">
        <v>59</v>
      </c>
      <c r="D24" s="11" t="s">
        <v>34</v>
      </c>
    </row>
    <row r="25" customFormat="false" ht="15" hidden="false" customHeight="false" outlineLevel="0" collapsed="false">
      <c r="A25" s="7" t="s">
        <v>60</v>
      </c>
      <c r="B25" s="8"/>
      <c r="C25" s="8"/>
      <c r="D25" s="8"/>
    </row>
    <row r="26" customFormat="false" ht="15" hidden="false" customHeight="false" outlineLevel="0" collapsed="false">
      <c r="A26" s="9" t="s">
        <v>61</v>
      </c>
      <c r="B26" s="12" t="n">
        <v>0.35</v>
      </c>
      <c r="C26" s="9" t="s">
        <v>46</v>
      </c>
      <c r="D26" s="11" t="s">
        <v>34</v>
      </c>
    </row>
    <row r="27" customFormat="false" ht="15" hidden="false" customHeight="false" outlineLevel="0" collapsed="false">
      <c r="A27" s="9" t="s">
        <v>62</v>
      </c>
      <c r="B27" s="15" t="n">
        <v>0.18</v>
      </c>
      <c r="C27" s="9" t="s">
        <v>46</v>
      </c>
      <c r="D27" s="11" t="s">
        <v>63</v>
      </c>
    </row>
    <row r="28" customFormat="false" ht="15" hidden="false" customHeight="false" outlineLevel="0" collapsed="false">
      <c r="A28" s="9" t="s">
        <v>64</v>
      </c>
      <c r="B28" s="12" t="n">
        <v>0.12</v>
      </c>
      <c r="C28" s="9" t="s">
        <v>46</v>
      </c>
      <c r="D28" s="11" t="s">
        <v>34</v>
      </c>
    </row>
    <row r="29" customFormat="false" ht="15" hidden="false" customHeight="false" outlineLevel="0" collapsed="false">
      <c r="A29" s="9" t="s">
        <v>65</v>
      </c>
      <c r="B29" s="15" t="n">
        <v>0.25</v>
      </c>
      <c r="C29" s="9" t="s">
        <v>46</v>
      </c>
      <c r="D29" s="11" t="s">
        <v>66</v>
      </c>
    </row>
    <row r="30" customFormat="false" ht="15" hidden="false" customHeight="false" outlineLevel="0" collapsed="false">
      <c r="A30" s="9" t="s">
        <v>67</v>
      </c>
      <c r="B30" s="15" t="n">
        <v>0.06</v>
      </c>
      <c r="C30" s="9" t="s">
        <v>46</v>
      </c>
      <c r="D30" s="11" t="s">
        <v>68</v>
      </c>
    </row>
    <row r="31" customFormat="false" ht="15" hidden="false" customHeight="false" outlineLevel="0" collapsed="false">
      <c r="A31" s="7" t="s">
        <v>69</v>
      </c>
      <c r="B31" s="8"/>
      <c r="C31" s="8"/>
      <c r="D31" s="8"/>
    </row>
    <row r="32" customFormat="false" ht="15" hidden="false" customHeight="false" outlineLevel="0" collapsed="false">
      <c r="A32" s="9" t="s">
        <v>70</v>
      </c>
      <c r="B32" s="16" t="n">
        <v>295051.54</v>
      </c>
      <c r="C32" s="9" t="s">
        <v>71</v>
      </c>
      <c r="D32" s="11" t="s">
        <v>72</v>
      </c>
    </row>
    <row r="33" customFormat="false" ht="15" hidden="false" customHeight="false" outlineLevel="0" collapsed="false">
      <c r="A33" s="9" t="s">
        <v>73</v>
      </c>
      <c r="B33" s="13" t="n">
        <v>12</v>
      </c>
      <c r="C33" s="9" t="s">
        <v>74</v>
      </c>
      <c r="D33" s="11" t="s">
        <v>75</v>
      </c>
    </row>
    <row r="34" customFormat="false" ht="15" hidden="false" customHeight="false" outlineLevel="0" collapsed="false">
      <c r="A34" s="9" t="s">
        <v>76</v>
      </c>
      <c r="B34" s="12" t="n">
        <v>0.48</v>
      </c>
      <c r="C34" s="9" t="s">
        <v>46</v>
      </c>
      <c r="D34" s="11" t="s">
        <v>34</v>
      </c>
    </row>
    <row r="35" customFormat="false" ht="15" hidden="false" customHeight="false" outlineLevel="0" collapsed="false">
      <c r="A35" s="9" t="s">
        <v>77</v>
      </c>
      <c r="B35" s="15" t="n">
        <v>0.06</v>
      </c>
      <c r="C35" s="9" t="s">
        <v>46</v>
      </c>
      <c r="D35" s="11" t="s">
        <v>78</v>
      </c>
    </row>
    <row r="36" customFormat="false" ht="15" hidden="false" customHeight="false" outlineLevel="0" collapsed="false">
      <c r="A36" s="9" t="s">
        <v>79</v>
      </c>
      <c r="B36" s="17" t="n">
        <v>0.9</v>
      </c>
      <c r="C36" s="9" t="s">
        <v>33</v>
      </c>
      <c r="D36" s="11" t="s">
        <v>34</v>
      </c>
    </row>
    <row r="37" customFormat="false" ht="15" hidden="false" customHeight="false" outlineLevel="0" collapsed="false">
      <c r="A37" s="9" t="s">
        <v>80</v>
      </c>
      <c r="B37" s="17" t="n">
        <v>5.4</v>
      </c>
      <c r="C37" s="9" t="s">
        <v>33</v>
      </c>
      <c r="D37" s="11" t="s">
        <v>34</v>
      </c>
    </row>
    <row r="38" customFormat="false" ht="15" hidden="false" customHeight="false" outlineLevel="0" collapsed="false">
      <c r="A38" s="9" t="s">
        <v>81</v>
      </c>
      <c r="B38" s="13" t="n">
        <v>38</v>
      </c>
      <c r="C38" s="9" t="s">
        <v>53</v>
      </c>
      <c r="D38" s="11" t="s">
        <v>34</v>
      </c>
    </row>
    <row r="39" customFormat="false" ht="15" hidden="false" customHeight="false" outlineLevel="0" collapsed="false">
      <c r="A39" s="7" t="s">
        <v>82</v>
      </c>
      <c r="B39" s="8"/>
      <c r="C39" s="8"/>
      <c r="D39" s="8"/>
    </row>
    <row r="40" customFormat="false" ht="15" hidden="false" customHeight="false" outlineLevel="0" collapsed="false">
      <c r="A40" s="9" t="s">
        <v>83</v>
      </c>
      <c r="B40" s="13" t="n">
        <v>10</v>
      </c>
      <c r="C40" s="9" t="s">
        <v>53</v>
      </c>
      <c r="D40" s="11" t="s">
        <v>34</v>
      </c>
    </row>
    <row r="41" customFormat="false" ht="15" hidden="false" customHeight="false" outlineLevel="0" collapsed="false">
      <c r="A41" s="9" t="s">
        <v>84</v>
      </c>
      <c r="B41" s="12" t="n">
        <v>0.06</v>
      </c>
      <c r="C41" s="9" t="s">
        <v>46</v>
      </c>
      <c r="D41" s="11" t="s">
        <v>34</v>
      </c>
    </row>
    <row r="42" customFormat="false" ht="15" hidden="false" customHeight="false" outlineLevel="0" collapsed="false">
      <c r="A42" s="9" t="s">
        <v>85</v>
      </c>
      <c r="B42" s="12" t="n">
        <v>0.045</v>
      </c>
      <c r="C42" s="9" t="s">
        <v>46</v>
      </c>
      <c r="D42" s="11" t="s">
        <v>86</v>
      </c>
    </row>
    <row r="43" customFormat="false" ht="15" hidden="false" customHeight="false" outlineLevel="0" collapsed="false">
      <c r="A43" s="9" t="s">
        <v>87</v>
      </c>
      <c r="B43" s="13" t="n">
        <v>58</v>
      </c>
      <c r="C43" s="9" t="s">
        <v>88</v>
      </c>
      <c r="D43" s="11" t="s">
        <v>34</v>
      </c>
    </row>
    <row r="44" customFormat="false" ht="15" hidden="false" customHeight="false" outlineLevel="0" collapsed="false">
      <c r="A44" s="9" t="s">
        <v>89</v>
      </c>
      <c r="B44" s="13" t="n">
        <v>46</v>
      </c>
      <c r="C44" s="9" t="s">
        <v>88</v>
      </c>
      <c r="D44" s="11" t="s">
        <v>86</v>
      </c>
    </row>
    <row r="45" customFormat="false" ht="15" hidden="false" customHeight="false" outlineLevel="0" collapsed="false">
      <c r="A45" s="9" t="s">
        <v>90</v>
      </c>
      <c r="B45" s="13" t="n">
        <v>340</v>
      </c>
      <c r="C45" s="9" t="s">
        <v>91</v>
      </c>
      <c r="D45" s="11" t="s">
        <v>34</v>
      </c>
    </row>
    <row r="46" customFormat="false" ht="15" hidden="false" customHeight="false" outlineLevel="0" collapsed="false">
      <c r="A46" s="9" t="s">
        <v>92</v>
      </c>
      <c r="B46" s="18" t="n">
        <v>1030</v>
      </c>
      <c r="C46" s="9" t="s">
        <v>71</v>
      </c>
      <c r="D46" s="11" t="s">
        <v>34</v>
      </c>
    </row>
    <row r="47" customFormat="false" ht="15" hidden="false" customHeight="false" outlineLevel="0" collapsed="false">
      <c r="A47" s="9" t="s">
        <v>93</v>
      </c>
      <c r="B47" s="12" t="n">
        <v>-0.03</v>
      </c>
      <c r="C47" s="9" t="s">
        <v>46</v>
      </c>
      <c r="D47" s="11" t="s">
        <v>94</v>
      </c>
    </row>
    <row r="48" customFormat="false" ht="15" hidden="false" customHeight="false" outlineLevel="0" collapsed="false">
      <c r="A48" s="9" t="s">
        <v>95</v>
      </c>
      <c r="B48" s="19" t="n">
        <v>0.5</v>
      </c>
      <c r="C48" s="9" t="s">
        <v>46</v>
      </c>
      <c r="D48" s="11" t="s">
        <v>96</v>
      </c>
    </row>
    <row r="49" customFormat="false" ht="15" hidden="false" customHeight="false" outlineLevel="0" collapsed="false">
      <c r="A49" s="9" t="s">
        <v>97</v>
      </c>
      <c r="B49" s="12" t="n">
        <v>0.12</v>
      </c>
      <c r="C49" s="9" t="s">
        <v>46</v>
      </c>
      <c r="D49" s="11" t="s">
        <v>96</v>
      </c>
    </row>
    <row r="51" customFormat="false" ht="15" hidden="false" customHeight="false" outlineLevel="0" collapsed="false">
      <c r="A51" s="20" t="s">
        <v>98</v>
      </c>
      <c r="B51" s="9" t="str">
        <f aca="false">IF(ABS($B$16+$B$17+$B$18+$B$19-1)&lt;0.0001,"OK","Review")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28"/>
    <col collapsed="false" customWidth="true" hidden="false" outlineLevel="0" max="3" min="3" style="0" width="16"/>
  </cols>
  <sheetData>
    <row r="1" customFormat="false" ht="17.35" hidden="false" customHeight="false" outlineLevel="0" collapsed="false">
      <c r="A1" s="1" t="s">
        <v>99</v>
      </c>
    </row>
    <row r="2" customFormat="false" ht="15" hidden="false" customHeight="false" outlineLevel="0" collapsed="false">
      <c r="A2" s="2" t="s">
        <v>100</v>
      </c>
    </row>
    <row r="4" customFormat="false" ht="31.5" hidden="false" customHeight="true" outlineLevel="0" collapsed="false">
      <c r="A4" s="5" t="s">
        <v>101</v>
      </c>
      <c r="B4" s="6" t="s">
        <v>102</v>
      </c>
    </row>
    <row r="5" customFormat="false" ht="15" hidden="false" customHeight="false" outlineLevel="0" collapsed="false">
      <c r="A5" s="9" t="s">
        <v>103</v>
      </c>
      <c r="B5" s="21" t="n">
        <f aca="false">Inputs!$B$5</f>
        <v>6.1</v>
      </c>
    </row>
    <row r="6" customFormat="false" ht="15" hidden="false" customHeight="false" outlineLevel="0" collapsed="false">
      <c r="A6" s="9" t="s">
        <v>104</v>
      </c>
      <c r="B6" s="21" t="n">
        <f aca="false">Inputs!$B$6</f>
        <v>9.4</v>
      </c>
    </row>
    <row r="7" customFormat="false" ht="15" hidden="false" customHeight="false" outlineLevel="0" collapsed="false">
      <c r="A7" s="9" t="s">
        <v>105</v>
      </c>
      <c r="B7" s="21" t="n">
        <f aca="false">Inputs!$B$7</f>
        <v>13.7</v>
      </c>
    </row>
    <row r="8" customFormat="false" ht="15" hidden="false" customHeight="false" outlineLevel="0" collapsed="false">
      <c r="A8" s="20" t="s">
        <v>106</v>
      </c>
      <c r="B8" s="22" t="n">
        <f aca="false">SUM(B5:B7)</f>
        <v>29.2</v>
      </c>
    </row>
    <row r="9" customFormat="false" ht="15" hidden="false" customHeight="false" outlineLevel="0" collapsed="false">
      <c r="A9" s="9" t="s">
        <v>37</v>
      </c>
      <c r="B9" s="21" t="n">
        <f aca="false">Inputs!$B$8</f>
        <v>0.8</v>
      </c>
    </row>
    <row r="10" customFormat="false" ht="15" hidden="false" customHeight="false" outlineLevel="0" collapsed="false">
      <c r="A10" s="20" t="s">
        <v>107</v>
      </c>
      <c r="B10" s="22" t="n">
        <f aca="false">B8+B9</f>
        <v>30</v>
      </c>
    </row>
    <row r="12" customFormat="false" ht="31.5" hidden="false" customHeight="true" outlineLevel="0" collapsed="false">
      <c r="A12" s="5" t="s">
        <v>108</v>
      </c>
      <c r="B12" s="6" t="s">
        <v>102</v>
      </c>
    </row>
    <row r="13" customFormat="false" ht="15" hidden="false" customHeight="false" outlineLevel="0" collapsed="false">
      <c r="A13" s="9" t="s">
        <v>39</v>
      </c>
      <c r="B13" s="21" t="n">
        <f aca="false">Inputs!$B$10</f>
        <v>17.6</v>
      </c>
    </row>
    <row r="14" customFormat="false" ht="15" hidden="false" customHeight="false" outlineLevel="0" collapsed="false">
      <c r="A14" s="9" t="s">
        <v>40</v>
      </c>
      <c r="B14" s="21" t="n">
        <f aca="false">Inputs!$B$11</f>
        <v>4.3</v>
      </c>
    </row>
    <row r="15" customFormat="false" ht="15" hidden="false" customHeight="false" outlineLevel="0" collapsed="false">
      <c r="A15" s="9" t="s">
        <v>41</v>
      </c>
      <c r="B15" s="21" t="n">
        <f aca="false">Inputs!$B$12</f>
        <v>5.1</v>
      </c>
    </row>
    <row r="16" customFormat="false" ht="15" hidden="false" customHeight="false" outlineLevel="0" collapsed="false">
      <c r="A16" s="9" t="s">
        <v>42</v>
      </c>
      <c r="B16" s="21" t="n">
        <f aca="false">Inputs!$B$13</f>
        <v>1.8</v>
      </c>
    </row>
    <row r="17" customFormat="false" ht="15" hidden="false" customHeight="false" outlineLevel="0" collapsed="false">
      <c r="A17" s="9" t="s">
        <v>109</v>
      </c>
      <c r="B17" s="21" t="n">
        <f aca="false">Inputs!$B$14</f>
        <v>2.6</v>
      </c>
    </row>
    <row r="18" customFormat="false" ht="15" hidden="false" customHeight="false" outlineLevel="0" collapsed="false">
      <c r="A18" s="20" t="s">
        <v>110</v>
      </c>
      <c r="B18" s="22" t="n">
        <f aca="false">SUM(B13:B17)</f>
        <v>31.4</v>
      </c>
    </row>
    <row r="20" customFormat="false" ht="15" hidden="false" customHeight="false" outlineLevel="0" collapsed="false">
      <c r="A20" s="20" t="s">
        <v>111</v>
      </c>
      <c r="B20" s="22" t="n">
        <f aca="false">B10-B18</f>
        <v>-1.4</v>
      </c>
    </row>
    <row r="21" customFormat="false" ht="15" hidden="false" customHeight="false" outlineLevel="0" collapsed="false">
      <c r="A21" s="20" t="s">
        <v>112</v>
      </c>
      <c r="B21" s="23" t="n">
        <f aca="false">B20/B10</f>
        <v>-0.0466666666666667</v>
      </c>
    </row>
    <row r="23" customFormat="false" ht="31.5" hidden="false" customHeight="true" outlineLevel="0" collapsed="false">
      <c r="A23" s="5" t="s">
        <v>113</v>
      </c>
      <c r="B23" s="6" t="s">
        <v>114</v>
      </c>
      <c r="C23" s="6" t="s">
        <v>101</v>
      </c>
    </row>
    <row r="24" customFormat="false" ht="15" hidden="false" customHeight="false" outlineLevel="0" collapsed="false">
      <c r="A24" s="9" t="s">
        <v>45</v>
      </c>
      <c r="B24" s="24" t="n">
        <f aca="false">Inputs!$B$16</f>
        <v>0.48</v>
      </c>
      <c r="C24" s="25" t="n">
        <f aca="false">ROUND(B24*$B$8,1)</f>
        <v>14</v>
      </c>
    </row>
    <row r="25" customFormat="false" ht="15" hidden="false" customHeight="false" outlineLevel="0" collapsed="false">
      <c r="A25" s="9" t="s">
        <v>47</v>
      </c>
      <c r="B25" s="24" t="n">
        <f aca="false">Inputs!$B$17</f>
        <v>0.17</v>
      </c>
      <c r="C25" s="25" t="n">
        <f aca="false">ROUND(B25*$B$8,1)</f>
        <v>5</v>
      </c>
    </row>
    <row r="26" customFormat="false" ht="15" hidden="false" customHeight="false" outlineLevel="0" collapsed="false">
      <c r="A26" s="9" t="s">
        <v>48</v>
      </c>
      <c r="B26" s="24" t="n">
        <f aca="false">Inputs!$B$18</f>
        <v>0.27</v>
      </c>
      <c r="C26" s="25" t="n">
        <f aca="false">ROUND(B26*$B$8,1)</f>
        <v>7.9</v>
      </c>
    </row>
    <row r="27" customFormat="false" ht="15" hidden="false" customHeight="false" outlineLevel="0" collapsed="false">
      <c r="A27" s="9" t="s">
        <v>49</v>
      </c>
      <c r="B27" s="24" t="n">
        <f aca="false">Inputs!$B$19</f>
        <v>0.08</v>
      </c>
      <c r="C27" s="25" t="n">
        <f aca="false">ROUND(B27*$B$8,1)</f>
        <v>2.3</v>
      </c>
    </row>
    <row r="28" customFormat="false" ht="15" hidden="false" customHeight="false" outlineLevel="0" collapsed="false">
      <c r="A28" s="20" t="s">
        <v>115</v>
      </c>
      <c r="B28" s="23" t="n">
        <f aca="false">SUM(B24:B27)</f>
        <v>1</v>
      </c>
      <c r="C28" s="22" t="n">
        <f aca="false">SUM(C24:C27)</f>
        <v>29.2</v>
      </c>
    </row>
    <row r="29" customFormat="false" ht="15" hidden="false" customHeight="false" outlineLevel="0" collapsed="false">
      <c r="A29" s="9" t="s">
        <v>116</v>
      </c>
      <c r="C29" s="9" t="str">
        <f aca="false">IF(ABS(C28-B8)&lt;0.051,"OK","Review")</f>
        <v>OK</v>
      </c>
    </row>
    <row r="30" customFormat="false" ht="15" hidden="false" customHeight="false" outlineLevel="0" collapsed="false">
      <c r="A30" s="11" t="s">
        <v>117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28"/>
    <col collapsed="false" customWidth="true" hidden="false" outlineLevel="0" max="5" min="5" style="0" width="16"/>
  </cols>
  <sheetData>
    <row r="1" customFormat="false" ht="17.35" hidden="false" customHeight="false" outlineLevel="0" collapsed="false">
      <c r="A1" s="1" t="s">
        <v>118</v>
      </c>
    </row>
    <row r="2" customFormat="false" ht="15" hidden="false" customHeight="false" outlineLevel="0" collapsed="false">
      <c r="A2" s="2" t="s">
        <v>119</v>
      </c>
    </row>
    <row r="4" customFormat="false" ht="31.5" hidden="false" customHeight="true" outlineLevel="0" collapsed="false">
      <c r="A4" s="5" t="s">
        <v>120</v>
      </c>
      <c r="B4" s="6" t="s">
        <v>121</v>
      </c>
      <c r="C4" s="6" t="s">
        <v>122</v>
      </c>
      <c r="D4" s="6" t="s">
        <v>123</v>
      </c>
      <c r="E4" s="6" t="s">
        <v>124</v>
      </c>
    </row>
    <row r="5" customFormat="false" ht="15" hidden="false" customHeight="false" outlineLevel="0" collapsed="false">
      <c r="A5" s="9" t="s">
        <v>125</v>
      </c>
      <c r="B5" s="25" t="n">
        <f aca="false">Baseline!$C$25*Inputs!$B$26</f>
        <v>1.75</v>
      </c>
      <c r="C5" s="24" t="n">
        <f aca="false">Inputs!$B$27</f>
        <v>0.18</v>
      </c>
      <c r="D5" s="25" t="n">
        <f aca="false">-ROUND(B5*C5,2)</f>
        <v>-0.32</v>
      </c>
      <c r="E5" s="26" t="s">
        <v>126</v>
      </c>
    </row>
    <row r="6" customFormat="false" ht="15" hidden="false" customHeight="false" outlineLevel="0" collapsed="false">
      <c r="A6" s="9" t="s">
        <v>127</v>
      </c>
      <c r="B6" s="25" t="n">
        <f aca="false">Baseline!$C$26*Inputs!$B$28</f>
        <v>0.948</v>
      </c>
      <c r="C6" s="24" t="n">
        <f aca="false">Inputs!$B$29</f>
        <v>0.25</v>
      </c>
      <c r="D6" s="25" t="n">
        <f aca="false">-ROUND(B6*C6,2)</f>
        <v>-0.24</v>
      </c>
      <c r="E6" s="26" t="s">
        <v>128</v>
      </c>
    </row>
    <row r="7" customFormat="false" ht="15" hidden="false" customHeight="false" outlineLevel="0" collapsed="false">
      <c r="A7" s="9" t="s">
        <v>129</v>
      </c>
      <c r="B7" s="21" t="n">
        <f aca="false">Baseline!$C$25</f>
        <v>5</v>
      </c>
      <c r="C7" s="24" t="n">
        <f aca="false">Inputs!$B$30</f>
        <v>0.06</v>
      </c>
      <c r="D7" s="25" t="n">
        <f aca="false">-ROUND(B7*C7,2)</f>
        <v>-0.3</v>
      </c>
      <c r="E7" s="26" t="s">
        <v>130</v>
      </c>
    </row>
    <row r="8" customFormat="false" ht="15" hidden="false" customHeight="false" outlineLevel="0" collapsed="false">
      <c r="A8" s="20" t="s">
        <v>115</v>
      </c>
      <c r="D8" s="22" t="n">
        <f aca="false">SUM(D5:D7)</f>
        <v>-0.86</v>
      </c>
    </row>
    <row r="9" customFormat="false" ht="15" hidden="false" customHeight="false" outlineLevel="0" collapsed="false">
      <c r="A9" s="9" t="s">
        <v>131</v>
      </c>
      <c r="D9" s="27" t="n">
        <f aca="false">-D8/Baseline!$B$10</f>
        <v>0.0286666666666667</v>
      </c>
    </row>
    <row r="11" customFormat="false" ht="31.5" hidden="false" customHeight="true" outlineLevel="0" collapsed="false">
      <c r="A11" s="5" t="s">
        <v>132</v>
      </c>
      <c r="B11" s="6" t="s">
        <v>114</v>
      </c>
      <c r="C11" s="6" t="s">
        <v>133</v>
      </c>
      <c r="D11" s="6" t="s">
        <v>134</v>
      </c>
    </row>
    <row r="12" customFormat="false" ht="15" hidden="false" customHeight="false" outlineLevel="0" collapsed="false">
      <c r="A12" s="9" t="s">
        <v>45</v>
      </c>
      <c r="B12" s="24" t="n">
        <f aca="false">Baseline!B24</f>
        <v>0.48</v>
      </c>
      <c r="C12" s="10" t="n">
        <v>0</v>
      </c>
      <c r="D12" s="27" t="n">
        <f aca="false">IF($C$16=0,0,C12/$C$16)</f>
        <v>0</v>
      </c>
    </row>
    <row r="13" customFormat="false" ht="15" hidden="false" customHeight="false" outlineLevel="0" collapsed="false">
      <c r="A13" s="9" t="s">
        <v>47</v>
      </c>
      <c r="B13" s="24" t="n">
        <f aca="false">Baseline!B25</f>
        <v>0.17</v>
      </c>
      <c r="C13" s="25" t="n">
        <f aca="false">-(D5+D7)</f>
        <v>0.62</v>
      </c>
      <c r="D13" s="27" t="n">
        <f aca="false">IF($C$16=0,0,C13/$C$16)</f>
        <v>0.72093023255814</v>
      </c>
    </row>
    <row r="14" customFormat="false" ht="15" hidden="false" customHeight="false" outlineLevel="0" collapsed="false">
      <c r="A14" s="9" t="s">
        <v>48</v>
      </c>
      <c r="B14" s="24" t="n">
        <f aca="false">Baseline!B26</f>
        <v>0.27</v>
      </c>
      <c r="C14" s="25" t="n">
        <f aca="false">-D6</f>
        <v>0.24</v>
      </c>
      <c r="D14" s="27" t="n">
        <f aca="false">IF($C$16=0,0,C14/$C$16)</f>
        <v>0.27906976744186</v>
      </c>
    </row>
    <row r="15" customFormat="false" ht="15" hidden="false" customHeight="false" outlineLevel="0" collapsed="false">
      <c r="A15" s="9" t="s">
        <v>49</v>
      </c>
      <c r="B15" s="24" t="n">
        <f aca="false">Baseline!B27</f>
        <v>0.08</v>
      </c>
      <c r="C15" s="10" t="n">
        <v>0</v>
      </c>
      <c r="D15" s="27" t="n">
        <f aca="false">IF($C$16=0,0,C15/$C$16)</f>
        <v>0</v>
      </c>
    </row>
    <row r="16" customFormat="false" ht="15" hidden="false" customHeight="false" outlineLevel="0" collapsed="false">
      <c r="A16" s="20" t="s">
        <v>115</v>
      </c>
      <c r="B16" s="23" t="n">
        <f aca="false">SUM(B12:B15)</f>
        <v>1</v>
      </c>
      <c r="C16" s="22" t="n">
        <f aca="false">SUM(C12:C15)</f>
        <v>0.86</v>
      </c>
      <c r="D16" s="23" t="n">
        <f aca="false">SUM(D12:D15)</f>
        <v>1</v>
      </c>
    </row>
    <row r="17" customFormat="false" ht="15" hidden="false" customHeight="false" outlineLevel="0" collapsed="false">
      <c r="A17" s="11" t="s">
        <v>135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8"/>
    <col collapsed="false" customWidth="true" hidden="false" outlineLevel="0" max="3" min="3" style="0" width="12"/>
    <col collapsed="false" customWidth="true" hidden="false" outlineLevel="0" max="5" min="4" style="0" width="22"/>
    <col collapsed="false" customWidth="true" hidden="false" outlineLevel="0" max="6" min="6" style="0" width="12"/>
    <col collapsed="false" customWidth="true" hidden="false" outlineLevel="0" max="7" min="7" style="0" width="24"/>
    <col collapsed="false" customWidth="true" hidden="false" outlineLevel="0" max="8" min="8" style="0" width="14"/>
    <col collapsed="false" customWidth="true" hidden="false" outlineLevel="0" max="9" min="9" style="0" width="46"/>
  </cols>
  <sheetData>
    <row r="1" customFormat="false" ht="17.35" hidden="false" customHeight="false" outlineLevel="0" collapsed="false">
      <c r="A1" s="1" t="s">
        <v>136</v>
      </c>
    </row>
    <row r="2" customFormat="false" ht="15" hidden="false" customHeight="false" outlineLevel="0" collapsed="false">
      <c r="A2" s="2" t="s">
        <v>137</v>
      </c>
    </row>
    <row r="4" customFormat="false" ht="31.5" hidden="false" customHeight="true" outlineLevel="0" collapsed="false">
      <c r="A4" s="5" t="s">
        <v>138</v>
      </c>
      <c r="B4" s="6" t="s">
        <v>139</v>
      </c>
      <c r="C4" s="6" t="s">
        <v>140</v>
      </c>
      <c r="D4" s="6" t="s">
        <v>141</v>
      </c>
      <c r="E4" s="6" t="s">
        <v>142</v>
      </c>
      <c r="F4" s="6" t="s">
        <v>143</v>
      </c>
      <c r="G4" s="6" t="s">
        <v>144</v>
      </c>
      <c r="H4" s="6" t="s">
        <v>145</v>
      </c>
      <c r="I4" s="6" t="s">
        <v>146</v>
      </c>
    </row>
    <row r="5" customFormat="false" ht="15" hidden="false" customHeight="false" outlineLevel="0" collapsed="false">
      <c r="A5" s="26" t="n">
        <v>1</v>
      </c>
      <c r="B5" s="9" t="s">
        <v>147</v>
      </c>
      <c r="C5" s="28" t="s">
        <v>148</v>
      </c>
      <c r="D5" s="10" t="n">
        <v>1.2</v>
      </c>
      <c r="E5" s="10" t="n">
        <v>0.8</v>
      </c>
      <c r="F5" s="25" t="n">
        <f aca="false">D5-E5</f>
        <v>0.4</v>
      </c>
      <c r="G5" s="10" t="n">
        <v>0.1</v>
      </c>
      <c r="H5" s="28" t="s">
        <v>149</v>
      </c>
      <c r="I5" s="9" t="s">
        <v>150</v>
      </c>
    </row>
    <row r="6" customFormat="false" ht="15" hidden="false" customHeight="false" outlineLevel="0" collapsed="false">
      <c r="A6" s="26" t="n">
        <v>2</v>
      </c>
      <c r="B6" s="9" t="s">
        <v>151</v>
      </c>
      <c r="C6" s="28" t="s">
        <v>148</v>
      </c>
      <c r="D6" s="10" t="n">
        <v>0.5</v>
      </c>
      <c r="E6" s="10" t="n">
        <v>0.4</v>
      </c>
      <c r="F6" s="25" t="n">
        <f aca="false">D6-E6</f>
        <v>0.1</v>
      </c>
      <c r="G6" s="10" t="n">
        <v>0.1</v>
      </c>
      <c r="H6" s="28" t="s">
        <v>149</v>
      </c>
      <c r="I6" s="9" t="s">
        <v>152</v>
      </c>
    </row>
    <row r="7" customFormat="false" ht="15" hidden="false" customHeight="false" outlineLevel="0" collapsed="false">
      <c r="A7" s="26" t="n">
        <v>3</v>
      </c>
      <c r="B7" s="9" t="s">
        <v>153</v>
      </c>
      <c r="C7" s="28" t="s">
        <v>148</v>
      </c>
      <c r="D7" s="10" t="n">
        <v>0.6</v>
      </c>
      <c r="E7" s="10" t="n">
        <v>0.1</v>
      </c>
      <c r="F7" s="25" t="n">
        <f aca="false">D7-E7</f>
        <v>0.5</v>
      </c>
      <c r="G7" s="10" t="n">
        <v>0</v>
      </c>
      <c r="H7" s="28" t="s">
        <v>154</v>
      </c>
      <c r="I7" s="9" t="s">
        <v>155</v>
      </c>
    </row>
    <row r="8" customFormat="false" ht="15" hidden="false" customHeight="false" outlineLevel="0" collapsed="false">
      <c r="A8" s="26" t="n">
        <v>4</v>
      </c>
      <c r="B8" s="9" t="s">
        <v>156</v>
      </c>
      <c r="C8" s="28" t="s">
        <v>148</v>
      </c>
      <c r="D8" s="10" t="n">
        <v>0.35</v>
      </c>
      <c r="E8" s="10" t="n">
        <v>0.2</v>
      </c>
      <c r="F8" s="25" t="n">
        <f aca="false">D8-E8</f>
        <v>0.15</v>
      </c>
      <c r="G8" s="10" t="n">
        <v>0.1</v>
      </c>
      <c r="H8" s="28" t="s">
        <v>149</v>
      </c>
      <c r="I8" s="9" t="s">
        <v>157</v>
      </c>
    </row>
    <row r="9" customFormat="false" ht="15" hidden="false" customHeight="false" outlineLevel="0" collapsed="false">
      <c r="A9" s="26" t="n">
        <v>5</v>
      </c>
      <c r="B9" s="9" t="s">
        <v>158</v>
      </c>
      <c r="C9" s="28" t="s">
        <v>159</v>
      </c>
      <c r="D9" s="10" t="n">
        <v>0.8</v>
      </c>
      <c r="E9" s="10" t="n">
        <v>0</v>
      </c>
      <c r="F9" s="25" t="n">
        <f aca="false">D9-E9</f>
        <v>0.8</v>
      </c>
      <c r="G9" s="10" t="n">
        <v>0</v>
      </c>
      <c r="H9" s="28" t="s">
        <v>154</v>
      </c>
      <c r="I9" s="9" t="s">
        <v>160</v>
      </c>
    </row>
    <row r="10" customFormat="false" ht="15" hidden="false" customHeight="false" outlineLevel="0" collapsed="false">
      <c r="A10" s="26" t="n">
        <v>6</v>
      </c>
      <c r="B10" s="9" t="s">
        <v>161</v>
      </c>
      <c r="C10" s="28" t="s">
        <v>159</v>
      </c>
      <c r="D10" s="10" t="n">
        <v>0.6</v>
      </c>
      <c r="E10" s="10" t="n">
        <v>0</v>
      </c>
      <c r="F10" s="25" t="n">
        <f aca="false">D10-E10</f>
        <v>0.6</v>
      </c>
      <c r="G10" s="10" t="n">
        <v>0</v>
      </c>
      <c r="H10" s="28" t="s">
        <v>154</v>
      </c>
      <c r="I10" s="9" t="s">
        <v>162</v>
      </c>
    </row>
    <row r="11" customFormat="false" ht="15" hidden="false" customHeight="false" outlineLevel="0" collapsed="false">
      <c r="B11" s="20" t="s">
        <v>115</v>
      </c>
      <c r="D11" s="22" t="n">
        <f aca="false">SUM(D5:D10)</f>
        <v>4.05</v>
      </c>
      <c r="E11" s="22" t="n">
        <f aca="false">SUM(E5:E10)</f>
        <v>1.5</v>
      </c>
      <c r="F11" s="22" t="n">
        <f aca="false">SUM(F5:F10)</f>
        <v>2.55</v>
      </c>
      <c r="G11" s="22" t="n">
        <f aca="false">SUM(G5:G10)</f>
        <v>0.3</v>
      </c>
    </row>
    <row r="13" customFormat="false" ht="31.5" hidden="false" customHeight="true" outlineLevel="0" collapsed="false">
      <c r="A13" s="5"/>
      <c r="B13" s="6" t="s">
        <v>163</v>
      </c>
      <c r="C13" s="6"/>
      <c r="D13" s="6" t="s">
        <v>28</v>
      </c>
    </row>
    <row r="14" customFormat="false" ht="15" hidden="false" customHeight="false" outlineLevel="0" collapsed="false">
      <c r="B14" s="9" t="s">
        <v>164</v>
      </c>
      <c r="D14" s="25" t="n">
        <f aca="false">SUMIF($C$5:$C$10,"Revenue",$D$5:$D$10)</f>
        <v>2.65</v>
      </c>
    </row>
    <row r="15" customFormat="false" ht="15" hidden="false" customHeight="false" outlineLevel="0" collapsed="false">
      <c r="B15" s="9" t="s">
        <v>165</v>
      </c>
      <c r="D15" s="25" t="n">
        <f aca="false">SUMIF($C$5:$C$10,"Savings",$D$5:$D$10)</f>
        <v>1.4</v>
      </c>
    </row>
    <row r="16" customFormat="false" ht="15" hidden="false" customHeight="false" outlineLevel="0" collapsed="false">
      <c r="B16" s="9" t="s">
        <v>142</v>
      </c>
      <c r="D16" s="25" t="n">
        <f aca="false">E11</f>
        <v>1.5</v>
      </c>
    </row>
    <row r="17" customFormat="false" ht="15" hidden="false" customHeight="false" outlineLevel="0" collapsed="false">
      <c r="B17" s="9" t="s">
        <v>166</v>
      </c>
      <c r="D17" s="25" t="n">
        <f aca="false">SUMIF($H$5:$H$10,"Y",$D$5:$D$10)</f>
        <v>2.05</v>
      </c>
    </row>
    <row r="18" customFormat="false" ht="15" hidden="false" customHeight="false" outlineLevel="0" collapsed="false">
      <c r="B18" s="9" t="s">
        <v>167</v>
      </c>
      <c r="D18" s="27" t="n">
        <f aca="false">D17/D11</f>
        <v>0.506172839506173</v>
      </c>
    </row>
    <row r="19" customFormat="false" ht="15" hidden="false" customHeight="false" outlineLevel="0" collapsed="false">
      <c r="B19" s="9" t="s">
        <v>168</v>
      </c>
      <c r="D19" s="27" t="n">
        <f aca="false">G11/E11</f>
        <v>0.2</v>
      </c>
    </row>
    <row r="21" customFormat="false" ht="31.5" hidden="false" customHeight="true" outlineLevel="0" collapsed="false">
      <c r="A21" s="5"/>
      <c r="B21" s="6" t="s">
        <v>169</v>
      </c>
      <c r="C21" s="6"/>
      <c r="D21" s="6" t="s">
        <v>28</v>
      </c>
    </row>
    <row r="22" customFormat="false" ht="15" hidden="false" customHeight="false" outlineLevel="0" collapsed="false">
      <c r="B22" s="9" t="s">
        <v>170</v>
      </c>
      <c r="D22" s="29" t="n">
        <f aca="false">Inputs!$B$22*Inputs!$B$41</f>
        <v>684</v>
      </c>
    </row>
    <row r="23" customFormat="false" ht="15" hidden="false" customHeight="false" outlineLevel="0" collapsed="false">
      <c r="B23" s="9" t="s">
        <v>171</v>
      </c>
      <c r="D23" s="29" t="n">
        <f aca="false">Inputs!$B$22*Inputs!$B$42</f>
        <v>513</v>
      </c>
    </row>
    <row r="24" customFormat="false" ht="15" hidden="false" customHeight="false" outlineLevel="0" collapsed="false">
      <c r="B24" s="9" t="s">
        <v>172</v>
      </c>
      <c r="D24" s="29" t="n">
        <f aca="false">D22-D23</f>
        <v>171</v>
      </c>
    </row>
    <row r="25" customFormat="false" ht="15" hidden="false" customHeight="false" outlineLevel="0" collapsed="false">
      <c r="B25" s="9" t="s">
        <v>173</v>
      </c>
      <c r="D25" s="25" t="n">
        <f aca="false">Baseline!$B$8/365*(Inputs!$B$43-Inputs!$B$44)</f>
        <v>0.96</v>
      </c>
    </row>
    <row r="26" customFormat="false" ht="15" hidden="false" customHeight="false" outlineLevel="0" collapsed="false">
      <c r="B26" s="9" t="s">
        <v>174</v>
      </c>
      <c r="D26" s="25" t="n">
        <f aca="false">Inputs!$B$45*Inputs!$B$46/1000000</f>
        <v>0.3502</v>
      </c>
    </row>
    <row r="27" customFormat="false" ht="15" hidden="false" customHeight="false" outlineLevel="0" collapsed="false">
      <c r="B27" s="9" t="s">
        <v>175</v>
      </c>
      <c r="D27" s="30" t="n">
        <f aca="false">D8-D26</f>
        <v>-0.000200000000000033</v>
      </c>
    </row>
    <row r="28" customFormat="false" ht="15" hidden="false" customHeight="false" outlineLevel="0" collapsed="false">
      <c r="B28" s="9" t="s">
        <v>176</v>
      </c>
      <c r="D28" s="21" t="n">
        <f aca="false">Headwinds!$B$5</f>
        <v>1.75</v>
      </c>
    </row>
    <row r="29" customFormat="false" ht="15" hidden="false" customHeight="false" outlineLevel="0" collapsed="false">
      <c r="B29" s="9" t="s">
        <v>177</v>
      </c>
      <c r="D29" s="12" t="n">
        <v>0.14</v>
      </c>
    </row>
    <row r="30" customFormat="false" ht="15" hidden="false" customHeight="false" outlineLevel="0" collapsed="false">
      <c r="B30" s="9" t="s">
        <v>178</v>
      </c>
      <c r="D30" s="25" t="n">
        <f aca="false">D28*(Inputs!$B$27-D29)</f>
        <v>0.07</v>
      </c>
    </row>
    <row r="32" customFormat="false" ht="15" hidden="false" customHeight="false" outlineLevel="0" collapsed="false">
      <c r="B32" s="11" t="s">
        <v>179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24"/>
  </cols>
  <sheetData>
    <row r="1" customFormat="false" ht="17.35" hidden="false" customHeight="false" outlineLevel="0" collapsed="false">
      <c r="A1" s="1" t="s">
        <v>180</v>
      </c>
    </row>
    <row r="2" customFormat="false" ht="15" hidden="false" customHeight="false" outlineLevel="0" collapsed="false">
      <c r="A2" s="2" t="s">
        <v>181</v>
      </c>
    </row>
    <row r="4" customFormat="false" ht="31.5" hidden="false" customHeight="true" outlineLevel="0" collapsed="false">
      <c r="A4" s="5" t="s">
        <v>182</v>
      </c>
      <c r="B4" s="6" t="s">
        <v>183</v>
      </c>
      <c r="C4" s="6" t="s">
        <v>184</v>
      </c>
      <c r="D4" s="6" t="s">
        <v>185</v>
      </c>
    </row>
    <row r="5" customFormat="false" ht="15" hidden="false" customHeight="false" outlineLevel="0" collapsed="false">
      <c r="A5" s="9" t="s">
        <v>186</v>
      </c>
      <c r="B5" s="21" t="n">
        <f aca="false">Baseline!$B$10</f>
        <v>30</v>
      </c>
      <c r="C5" s="21" t="n">
        <f aca="false">Baseline!$B$10</f>
        <v>30</v>
      </c>
      <c r="D5" s="21" t="n">
        <f aca="false">Baseline!$B$10</f>
        <v>30</v>
      </c>
    </row>
    <row r="6" customFormat="false" ht="15" hidden="false" customHeight="false" outlineLevel="0" collapsed="false">
      <c r="A6" s="9" t="s">
        <v>187</v>
      </c>
      <c r="B6" s="21" t="n">
        <f aca="false">Headwinds!$D$8</f>
        <v>-0.86</v>
      </c>
      <c r="C6" s="21" t="n">
        <f aca="false">Headwinds!$D$8</f>
        <v>-0.86</v>
      </c>
      <c r="D6" s="21" t="n">
        <f aca="false">Headwinds!$D$8</f>
        <v>-0.86</v>
      </c>
    </row>
    <row r="7" customFormat="false" ht="15" hidden="false" customHeight="false" outlineLevel="0" collapsed="false">
      <c r="A7" s="9" t="s">
        <v>188</v>
      </c>
      <c r="B7" s="25" t="n">
        <v>0</v>
      </c>
      <c r="C7" s="25" t="n">
        <f aca="false">-Inputs!$B$5</f>
        <v>-6.1</v>
      </c>
      <c r="D7" s="25" t="n">
        <v>0</v>
      </c>
    </row>
    <row r="8" customFormat="false" ht="15" hidden="false" customHeight="false" outlineLevel="0" collapsed="false">
      <c r="A8" s="9" t="s">
        <v>189</v>
      </c>
      <c r="B8" s="25" t="n">
        <v>0</v>
      </c>
      <c r="C8" s="21" t="n">
        <f aca="false">Inputs!$B$36</f>
        <v>0.9</v>
      </c>
      <c r="D8" s="25" t="n">
        <v>0</v>
      </c>
    </row>
    <row r="9" customFormat="false" ht="15" hidden="false" customHeight="false" outlineLevel="0" collapsed="false">
      <c r="A9" s="9" t="s">
        <v>190</v>
      </c>
      <c r="B9" s="25" t="n">
        <v>0</v>
      </c>
      <c r="C9" s="25" t="n">
        <f aca="false">-ROUND(Inputs!$B$34*(Inputs!$B$6+Inputs!$B$7)*Inputs!$B$35,2)</f>
        <v>-0.67</v>
      </c>
      <c r="D9" s="25" t="n">
        <v>0</v>
      </c>
    </row>
    <row r="10" customFormat="false" ht="15" hidden="false" customHeight="false" outlineLevel="0" collapsed="false">
      <c r="A10" s="9" t="s">
        <v>191</v>
      </c>
      <c r="B10" s="25" t="n">
        <v>0</v>
      </c>
      <c r="C10" s="25" t="n">
        <f aca="false">ROUND(Inputs!$B$32*Inputs!$B$33/1000000,2)</f>
        <v>3.54</v>
      </c>
      <c r="D10" s="25" t="n">
        <v>0</v>
      </c>
    </row>
    <row r="11" customFormat="false" ht="15" hidden="false" customHeight="false" outlineLevel="0" collapsed="false">
      <c r="A11" s="9" t="s">
        <v>192</v>
      </c>
      <c r="B11" s="25" t="n">
        <v>0</v>
      </c>
      <c r="C11" s="25" t="n">
        <v>0</v>
      </c>
      <c r="D11" s="21" t="n">
        <f aca="false">Initiatives!$D$14</f>
        <v>2.65</v>
      </c>
    </row>
    <row r="12" customFormat="false" ht="15" hidden="false" customHeight="false" outlineLevel="0" collapsed="false">
      <c r="A12" s="20" t="s">
        <v>193</v>
      </c>
      <c r="B12" s="31" t="n">
        <f aca="false">SUM(B5:B11)</f>
        <v>29.14</v>
      </c>
      <c r="C12" s="31" t="n">
        <f aca="false">SUM(C5:C11)</f>
        <v>26.81</v>
      </c>
      <c r="D12" s="31" t="n">
        <f aca="false">SUM(D5:D11)</f>
        <v>31.79</v>
      </c>
    </row>
    <row r="14" customFormat="false" ht="15" hidden="false" customHeight="false" outlineLevel="0" collapsed="false">
      <c r="A14" s="9" t="s">
        <v>194</v>
      </c>
      <c r="B14" s="21" t="n">
        <f aca="false">Baseline!$B$18</f>
        <v>31.4</v>
      </c>
      <c r="C14" s="21" t="n">
        <f aca="false">Baseline!$B$18</f>
        <v>31.4</v>
      </c>
      <c r="D14" s="21" t="n">
        <f aca="false">Baseline!$B$18</f>
        <v>31.4</v>
      </c>
    </row>
    <row r="15" customFormat="false" ht="15" hidden="false" customHeight="false" outlineLevel="0" collapsed="false">
      <c r="A15" s="9" t="s">
        <v>195</v>
      </c>
      <c r="B15" s="25" t="n">
        <v>0</v>
      </c>
      <c r="C15" s="25" t="n">
        <f aca="false">-Inputs!$B$37</f>
        <v>-5.4</v>
      </c>
      <c r="D15" s="25" t="n">
        <v>0</v>
      </c>
    </row>
    <row r="16" customFormat="false" ht="15" hidden="false" customHeight="false" outlineLevel="0" collapsed="false">
      <c r="A16" s="9" t="s">
        <v>196</v>
      </c>
      <c r="B16" s="25" t="n">
        <v>0</v>
      </c>
      <c r="C16" s="25" t="n">
        <v>0</v>
      </c>
      <c r="D16" s="21" t="n">
        <f aca="false">Initiatives!$D$16</f>
        <v>1.5</v>
      </c>
    </row>
    <row r="17" customFormat="false" ht="15" hidden="false" customHeight="false" outlineLevel="0" collapsed="false">
      <c r="A17" s="9" t="s">
        <v>197</v>
      </c>
      <c r="B17" s="25" t="n">
        <v>0</v>
      </c>
      <c r="C17" s="25" t="n">
        <v>0</v>
      </c>
      <c r="D17" s="25" t="n">
        <f aca="false">-Initiatives!$D$15</f>
        <v>-1.4</v>
      </c>
    </row>
    <row r="18" customFormat="false" ht="15" hidden="false" customHeight="false" outlineLevel="0" collapsed="false">
      <c r="A18" s="20" t="s">
        <v>198</v>
      </c>
      <c r="B18" s="31" t="n">
        <f aca="false">SUM(B14:B17)</f>
        <v>31.4</v>
      </c>
      <c r="C18" s="31" t="n">
        <f aca="false">SUM(C14:C17)</f>
        <v>26</v>
      </c>
      <c r="D18" s="31" t="n">
        <f aca="false">SUM(D14:D17)</f>
        <v>31.5</v>
      </c>
    </row>
    <row r="20" customFormat="false" ht="15" hidden="false" customHeight="false" outlineLevel="0" collapsed="false">
      <c r="A20" s="20" t="s">
        <v>111</v>
      </c>
      <c r="B20" s="22" t="n">
        <f aca="false">B12-B18</f>
        <v>-2.26</v>
      </c>
      <c r="C20" s="22" t="n">
        <f aca="false">C12-C18</f>
        <v>0.809999999999999</v>
      </c>
      <c r="D20" s="22" t="n">
        <f aca="false">D12-D18</f>
        <v>0.289999999999992</v>
      </c>
    </row>
    <row r="21" customFormat="false" ht="15" hidden="false" customHeight="false" outlineLevel="0" collapsed="false">
      <c r="A21" s="20" t="s">
        <v>112</v>
      </c>
      <c r="B21" s="23" t="n">
        <f aca="false">B20/B12</f>
        <v>-0.0775566231983528</v>
      </c>
      <c r="C21" s="23" t="n">
        <f aca="false">C20/C12</f>
        <v>0.0302126072361059</v>
      </c>
      <c r="D21" s="23" t="n">
        <f aca="false">D20/D12</f>
        <v>0.00912236552374936</v>
      </c>
    </row>
    <row r="22" customFormat="false" ht="15" hidden="false" customHeight="false" outlineLevel="0" collapsed="false">
      <c r="A22" s="9" t="s">
        <v>199</v>
      </c>
      <c r="B22" s="26" t="str">
        <f aca="false">IF(B21&lt;Inputs!$B$47,"Breach","OK")</f>
        <v>Breach</v>
      </c>
      <c r="C22" s="26" t="str">
        <f aca="false">IF(C21&lt;Inputs!$B$47,"Breach","OK")</f>
        <v>OK</v>
      </c>
      <c r="D22" s="26" t="str">
        <f aca="false">IF(D21&lt;Inputs!$B$47,"Breach","OK")</f>
        <v>OK</v>
      </c>
    </row>
    <row r="23" customFormat="false" ht="15" hidden="false" customHeight="false" outlineLevel="0" collapsed="false">
      <c r="A23" s="9" t="s">
        <v>53</v>
      </c>
      <c r="B23" s="32" t="n">
        <f aca="false">Inputs!$B$21</f>
        <v>212</v>
      </c>
      <c r="C23" s="29" t="n">
        <f aca="false">Inputs!$B$21-Inputs!$B$38</f>
        <v>174</v>
      </c>
      <c r="D23" s="29" t="n">
        <f aca="false">Inputs!$B$21+Inputs!$B$40</f>
        <v>222</v>
      </c>
    </row>
    <row r="25" customFormat="false" ht="31.5" hidden="false" customHeight="true" outlineLevel="0" collapsed="false">
      <c r="A25" s="5" t="s">
        <v>200</v>
      </c>
      <c r="B25" s="6"/>
      <c r="C25" s="6"/>
      <c r="D25" s="6"/>
    </row>
    <row r="26" customFormat="false" ht="15" hidden="false" customHeight="false" outlineLevel="0" collapsed="false">
      <c r="A26" s="9" t="s">
        <v>201</v>
      </c>
      <c r="C26" s="25" t="n">
        <f aca="false">SUM(C7:C10)</f>
        <v>-2.33</v>
      </c>
    </row>
    <row r="27" customFormat="false" ht="15" hidden="false" customHeight="false" outlineLevel="0" collapsed="false">
      <c r="A27" s="9" t="s">
        <v>202</v>
      </c>
      <c r="C27" s="25" t="n">
        <f aca="false">C12-C14</f>
        <v>-4.59</v>
      </c>
    </row>
    <row r="28" customFormat="false" ht="15" hidden="false" customHeight="false" outlineLevel="0" collapsed="false">
      <c r="A28" s="9" t="s">
        <v>203</v>
      </c>
      <c r="D28" s="25" t="n">
        <f aca="false">D20-B20</f>
        <v>2.54999999999999</v>
      </c>
    </row>
    <row r="30" customFormat="false" ht="31.5" hidden="false" customHeight="true" outlineLevel="0" collapsed="false">
      <c r="A30" s="5" t="s">
        <v>204</v>
      </c>
      <c r="B30" s="6" t="s">
        <v>205</v>
      </c>
      <c r="C30" s="6" t="s">
        <v>206</v>
      </c>
      <c r="D30" s="6" t="s">
        <v>207</v>
      </c>
    </row>
    <row r="31" customFormat="false" ht="15" hidden="false" customHeight="false" outlineLevel="0" collapsed="false">
      <c r="A31" s="9" t="s">
        <v>208</v>
      </c>
      <c r="B31" s="12" t="n">
        <v>-0.078</v>
      </c>
      <c r="C31" s="12" t="n">
        <v>0.03</v>
      </c>
      <c r="D31" s="12" t="n">
        <v>0.009</v>
      </c>
    </row>
    <row r="32" customFormat="false" ht="15" hidden="false" customHeight="false" outlineLevel="0" collapsed="false">
      <c r="A32" s="9" t="s">
        <v>209</v>
      </c>
      <c r="B32" s="27" t="n">
        <f aca="false">ROUND(B21,3)</f>
        <v>-0.078</v>
      </c>
      <c r="C32" s="27" t="n">
        <f aca="false">ROUND(C21,3)</f>
        <v>0.03</v>
      </c>
      <c r="D32" s="27" t="n">
        <f aca="false">ROUND(D21,3)</f>
        <v>0.009</v>
      </c>
    </row>
    <row r="33" customFormat="false" ht="15" hidden="false" customHeight="false" outlineLevel="0" collapsed="false">
      <c r="A33" s="9" t="s">
        <v>210</v>
      </c>
      <c r="B33" s="26" t="str">
        <f aca="false">IF(B32=B31,"OK","CHECK")</f>
        <v>OK</v>
      </c>
      <c r="C33" s="26" t="str">
        <f aca="false">IF(C32=C31,"OK","CHECK")</f>
        <v>OK</v>
      </c>
      <c r="D33" s="26" t="str">
        <f aca="false">IF(D32=D31,"OK","CHECK")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3" min="2" style="0" width="24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7" min="6" style="0" width="20"/>
    <col collapsed="false" customWidth="true" hidden="false" outlineLevel="0" max="8" min="8" style="0" width="14"/>
  </cols>
  <sheetData>
    <row r="1" customFormat="false" ht="17.35" hidden="false" customHeight="false" outlineLevel="0" collapsed="false">
      <c r="A1" s="1" t="s">
        <v>211</v>
      </c>
    </row>
    <row r="2" customFormat="false" ht="15" hidden="false" customHeight="false" outlineLevel="0" collapsed="false">
      <c r="A2" s="2" t="s">
        <v>212</v>
      </c>
    </row>
    <row r="3" customFormat="false" ht="15" hidden="false" customHeight="false" outlineLevel="0" collapsed="false">
      <c r="A3" s="20" t="s">
        <v>213</v>
      </c>
      <c r="B3" s="33" t="n">
        <f aca="false">Scenarios!$D$20</f>
        <v>0.289999999999992</v>
      </c>
    </row>
    <row r="5" customFormat="false" ht="31.5" hidden="false" customHeight="true" outlineLevel="0" collapsed="false">
      <c r="A5" s="5" t="s">
        <v>27</v>
      </c>
      <c r="B5" s="6" t="s">
        <v>140</v>
      </c>
      <c r="C5" s="6" t="s">
        <v>214</v>
      </c>
      <c r="D5" s="6" t="s">
        <v>215</v>
      </c>
      <c r="E5" s="6" t="s">
        <v>216</v>
      </c>
      <c r="F5" s="6" t="s">
        <v>217</v>
      </c>
      <c r="G5" s="6" t="s">
        <v>218</v>
      </c>
      <c r="H5" s="6" t="s">
        <v>219</v>
      </c>
    </row>
    <row r="6" customFormat="false" ht="15" hidden="false" customHeight="false" outlineLevel="0" collapsed="false">
      <c r="A6" s="9" t="s">
        <v>220</v>
      </c>
      <c r="B6" s="28" t="s">
        <v>221</v>
      </c>
      <c r="C6" s="34" t="n">
        <v>1</v>
      </c>
      <c r="D6" s="34" t="n">
        <v>0.5</v>
      </c>
      <c r="E6" s="34" t="n">
        <v>1.5</v>
      </c>
      <c r="F6" s="25" t="n">
        <f aca="false">$B$3+(D6-C6)*Initiatives!$D$14</f>
        <v>-1.03500000000001</v>
      </c>
      <c r="G6" s="25" t="n">
        <f aca="false">$B$3+(E6-C6)*Initiatives!$D$14</f>
        <v>1.61499999999999</v>
      </c>
      <c r="H6" s="25" t="n">
        <f aca="false">G6-F6</f>
        <v>2.65</v>
      </c>
    </row>
    <row r="7" customFormat="false" ht="15" hidden="false" customHeight="false" outlineLevel="0" collapsed="false">
      <c r="A7" s="9" t="s">
        <v>222</v>
      </c>
      <c r="B7" s="28" t="s">
        <v>221</v>
      </c>
      <c r="C7" s="34" t="n">
        <v>1</v>
      </c>
      <c r="D7" s="34" t="n">
        <v>0.5</v>
      </c>
      <c r="E7" s="34" t="n">
        <v>1.5</v>
      </c>
      <c r="F7" s="25" t="n">
        <f aca="false">$B$3+(D7-C7)*Initiatives!$D$15</f>
        <v>-0.410000000000008</v>
      </c>
      <c r="G7" s="25" t="n">
        <f aca="false">$B$3+(E7-C7)*Initiatives!$D$15</f>
        <v>0.989999999999992</v>
      </c>
      <c r="H7" s="25" t="n">
        <f aca="false">G7-F7</f>
        <v>1.4</v>
      </c>
    </row>
    <row r="8" customFormat="false" ht="15" hidden="false" customHeight="false" outlineLevel="0" collapsed="false">
      <c r="A8" s="9" t="s">
        <v>223</v>
      </c>
      <c r="B8" s="28" t="s">
        <v>224</v>
      </c>
      <c r="C8" s="24" t="n">
        <f aca="false">Inputs!$B$30</f>
        <v>0.06</v>
      </c>
      <c r="D8" s="12" t="n">
        <v>0.12</v>
      </c>
      <c r="E8" s="12" t="n">
        <v>0</v>
      </c>
      <c r="F8" s="25" t="n">
        <f aca="false">$B$3-(D8-C8)*Baseline!$C$25</f>
        <v>-0.0100000000000079</v>
      </c>
      <c r="G8" s="25" t="n">
        <f aca="false">$B$3-(E8-C8)*Baseline!$C$25</f>
        <v>0.589999999999992</v>
      </c>
      <c r="H8" s="25" t="n">
        <f aca="false">G8-F8</f>
        <v>0.6</v>
      </c>
    </row>
    <row r="9" customFormat="false" ht="15" hidden="false" customHeight="false" outlineLevel="0" collapsed="false">
      <c r="A9" s="9" t="s">
        <v>225</v>
      </c>
      <c r="B9" s="28" t="s">
        <v>221</v>
      </c>
      <c r="C9" s="34" t="n">
        <v>1</v>
      </c>
      <c r="D9" s="34" t="n">
        <v>1.2</v>
      </c>
      <c r="E9" s="34" t="n">
        <v>0.8</v>
      </c>
      <c r="F9" s="25" t="n">
        <f aca="false">$B$3-(D9-C9)*Initiatives!$D$16</f>
        <v>-0.0100000000000079</v>
      </c>
      <c r="G9" s="25" t="n">
        <f aca="false">$B$3-(E9-C9)*Initiatives!$D$16</f>
        <v>0.589999999999992</v>
      </c>
      <c r="H9" s="25" t="n">
        <f aca="false">G9-F9</f>
        <v>0.6</v>
      </c>
    </row>
    <row r="10" customFormat="false" ht="15" hidden="false" customHeight="false" outlineLevel="0" collapsed="false">
      <c r="A10" s="9" t="s">
        <v>226</v>
      </c>
      <c r="B10" s="28" t="s">
        <v>224</v>
      </c>
      <c r="C10" s="24" t="n">
        <f aca="false">Inputs!$B$27</f>
        <v>0.18</v>
      </c>
      <c r="D10" s="12" t="n">
        <v>0.36</v>
      </c>
      <c r="E10" s="12" t="n">
        <v>0.09</v>
      </c>
      <c r="F10" s="25" t="n">
        <f aca="false">$B$3-(D10-C10)*Headwinds!$B$5</f>
        <v>-0.025000000000008</v>
      </c>
      <c r="G10" s="25" t="n">
        <f aca="false">$B$3-(E10-C10)*Headwinds!$B$5</f>
        <v>0.447499999999992</v>
      </c>
      <c r="H10" s="25" t="n">
        <f aca="false">G10-F10</f>
        <v>0.4725</v>
      </c>
    </row>
    <row r="11" customFormat="false" ht="15" hidden="false" customHeight="false" outlineLevel="0" collapsed="false">
      <c r="A11" s="9" t="s">
        <v>227</v>
      </c>
      <c r="B11" s="28" t="s">
        <v>224</v>
      </c>
      <c r="C11" s="24" t="n">
        <f aca="false">Inputs!$B$29</f>
        <v>0.25</v>
      </c>
      <c r="D11" s="12" t="n">
        <v>0.5</v>
      </c>
      <c r="E11" s="12" t="n">
        <v>0.125</v>
      </c>
      <c r="F11" s="25" t="n">
        <f aca="false">$B$3-(D11-C11)*Headwinds!$B$6</f>
        <v>0.0529999999999921</v>
      </c>
      <c r="G11" s="25" t="n">
        <f aca="false">$B$3-(E11-C11)*Headwinds!$B$6</f>
        <v>0.408499999999992</v>
      </c>
      <c r="H11" s="25" t="n">
        <f aca="false">G11-F11</f>
        <v>0.3555</v>
      </c>
    </row>
    <row r="13" customFormat="false" ht="15" hidden="false" customHeight="false" outlineLevel="0" collapsed="false">
      <c r="A13" s="20" t="s">
        <v>228</v>
      </c>
      <c r="H13" s="22" t="n">
        <f aca="false">SUMIF($B$6:$B$11,"Execution",$H$6:$H$11)</f>
        <v>4.65</v>
      </c>
    </row>
    <row r="14" customFormat="false" ht="15" hidden="false" customHeight="false" outlineLevel="0" collapsed="false">
      <c r="A14" s="20" t="s">
        <v>229</v>
      </c>
      <c r="H14" s="22" t="n">
        <f aca="false">SUMIF($B$6:$B$11,"Policy",$H$6:$H$11)</f>
        <v>1.428</v>
      </c>
    </row>
    <row r="16" customFormat="false" ht="31.5" hidden="false" customHeight="true" outlineLevel="0" collapsed="false">
      <c r="A16" s="5" t="s">
        <v>230</v>
      </c>
      <c r="B16" s="6" t="s">
        <v>231</v>
      </c>
      <c r="C16" s="6" t="s">
        <v>232</v>
      </c>
      <c r="D16" s="6" t="s">
        <v>233</v>
      </c>
      <c r="E16" s="6" t="s">
        <v>234</v>
      </c>
      <c r="F16" s="6" t="s">
        <v>199</v>
      </c>
    </row>
    <row r="17" customFormat="false" ht="15" hidden="false" customHeight="false" outlineLevel="0" collapsed="false">
      <c r="A17" s="9" t="s">
        <v>235</v>
      </c>
      <c r="B17" s="25" t="n">
        <f aca="false">Scenarios!$D$12-(1-Inputs!$B$48)*Initiatives!$D$14</f>
        <v>30.465</v>
      </c>
      <c r="C17" s="21" t="n">
        <f aca="false">Scenarios!$D$18</f>
        <v>31.5</v>
      </c>
      <c r="D17" s="25" t="n">
        <f aca="false">B17-C17</f>
        <v>-1.03500000000001</v>
      </c>
      <c r="E17" s="27" t="n">
        <f aca="false">D17/B17</f>
        <v>-0.0339734121122602</v>
      </c>
      <c r="F17" s="26" t="str">
        <f aca="false">IF(E17&lt;Inputs!$B$47,"Breach","OK")</f>
        <v>Breach</v>
      </c>
    </row>
    <row r="18" customFormat="false" ht="15" hidden="false" customHeight="false" outlineLevel="0" collapsed="false">
      <c r="A18" s="9" t="s">
        <v>236</v>
      </c>
      <c r="B18" s="25" t="n">
        <f aca="false">Scenarios!$C$12-Inputs!$B$34*(Inputs!$B$6+Inputs!$B$7)*(Inputs!$B$49-Inputs!$B$35)</f>
        <v>26.14472</v>
      </c>
      <c r="C18" s="21" t="n">
        <f aca="false">Scenarios!$C$18</f>
        <v>26</v>
      </c>
      <c r="D18" s="25" t="n">
        <f aca="false">B18-C18</f>
        <v>0.14472</v>
      </c>
      <c r="E18" s="27" t="n">
        <f aca="false">D18/B18</f>
        <v>0.00553534327390003</v>
      </c>
      <c r="F18" s="26" t="str">
        <f aca="false">IF(E18&lt;Inputs!$B$47,"Breach","OK")</f>
        <v>OK</v>
      </c>
    </row>
    <row r="20" customFormat="false" ht="31.5" hidden="false" customHeight="true" outlineLevel="0" collapsed="false">
      <c r="A20" s="5" t="s">
        <v>237</v>
      </c>
      <c r="B20" s="6" t="s">
        <v>238</v>
      </c>
      <c r="C20" s="6" t="s">
        <v>234</v>
      </c>
    </row>
    <row r="21" customFormat="false" ht="15" hidden="false" customHeight="false" outlineLevel="0" collapsed="false">
      <c r="A21" s="9" t="s">
        <v>183</v>
      </c>
      <c r="B21" s="26" t="s">
        <v>214</v>
      </c>
      <c r="C21" s="24" t="n">
        <f aca="false">Scenarios!B21</f>
        <v>-0.0775566231983528</v>
      </c>
    </row>
    <row r="22" customFormat="false" ht="15" hidden="false" customHeight="false" outlineLevel="0" collapsed="false">
      <c r="A22" s="9" t="s">
        <v>184</v>
      </c>
      <c r="B22" s="26" t="s">
        <v>214</v>
      </c>
      <c r="C22" s="24" t="n">
        <f aca="false">Scenarios!C21</f>
        <v>0.0302126072361059</v>
      </c>
    </row>
    <row r="23" customFormat="false" ht="15" hidden="false" customHeight="false" outlineLevel="0" collapsed="false">
      <c r="A23" s="9" t="s">
        <v>184</v>
      </c>
      <c r="B23" s="26" t="s">
        <v>239</v>
      </c>
      <c r="C23" s="27" t="n">
        <f aca="false">E18</f>
        <v>0.00553534327390003</v>
      </c>
    </row>
    <row r="24" customFormat="false" ht="15" hidden="false" customHeight="false" outlineLevel="0" collapsed="false">
      <c r="A24" s="9" t="s">
        <v>185</v>
      </c>
      <c r="B24" s="26" t="s">
        <v>214</v>
      </c>
      <c r="C24" s="24" t="n">
        <f aca="false">Scenarios!D21</f>
        <v>0.00912236552374936</v>
      </c>
    </row>
    <row r="25" customFormat="false" ht="15" hidden="false" customHeight="false" outlineLevel="0" collapsed="false">
      <c r="A25" s="9" t="s">
        <v>185</v>
      </c>
      <c r="B25" s="26" t="s">
        <v>239</v>
      </c>
      <c r="C25" s="27" t="n">
        <f aca="false">E17</f>
        <v>-0.0339734121122602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24"/>
    <col collapsed="false" customWidth="true" hidden="false" outlineLevel="0" max="5" min="5" style="0" width="22"/>
    <col collapsed="false" customWidth="true" hidden="false" outlineLevel="0" max="8" min="6" style="0" width="16"/>
    <col collapsed="false" customWidth="true" hidden="false" outlineLevel="0" max="9" min="9" style="0" width="18"/>
  </cols>
  <sheetData>
    <row r="1" customFormat="false" ht="17.35" hidden="false" customHeight="false" outlineLevel="0" collapsed="false">
      <c r="A1" s="1" t="s">
        <v>240</v>
      </c>
    </row>
    <row r="2" customFormat="false" ht="15" hidden="false" customHeight="false" outlineLevel="0" collapsed="false">
      <c r="A2" s="2" t="s">
        <v>241</v>
      </c>
    </row>
    <row r="3" customFormat="false" ht="15" hidden="false" customHeight="false" outlineLevel="0" collapsed="false">
      <c r="A3" s="9" t="s">
        <v>242</v>
      </c>
      <c r="B3" s="19" t="n">
        <v>0.5</v>
      </c>
    </row>
    <row r="4" customFormat="false" ht="15" hidden="false" customHeight="false" outlineLevel="0" collapsed="false">
      <c r="A4" s="9" t="s">
        <v>243</v>
      </c>
      <c r="B4" s="34" t="n">
        <v>1.5</v>
      </c>
    </row>
    <row r="6" customFormat="false" ht="31.5" hidden="false" customHeight="true" outlineLevel="0" collapsed="false">
      <c r="A6" s="5" t="s">
        <v>244</v>
      </c>
      <c r="B6" s="6" t="s">
        <v>245</v>
      </c>
      <c r="C6" s="6" t="s">
        <v>246</v>
      </c>
      <c r="D6" s="6" t="s">
        <v>247</v>
      </c>
      <c r="E6" s="6" t="s">
        <v>248</v>
      </c>
      <c r="F6" s="6" t="s">
        <v>249</v>
      </c>
      <c r="G6" s="6" t="s">
        <v>250</v>
      </c>
      <c r="H6" s="6" t="s">
        <v>251</v>
      </c>
      <c r="I6" s="6" t="s">
        <v>252</v>
      </c>
    </row>
    <row r="7" customFormat="false" ht="15" hidden="false" customHeight="false" outlineLevel="0" collapsed="false">
      <c r="A7" s="9" t="s">
        <v>253</v>
      </c>
      <c r="B7" s="26" t="n">
        <v>4</v>
      </c>
      <c r="C7" s="21" t="n">
        <f aca="false">Initiatives!$G$8</f>
        <v>0.1</v>
      </c>
      <c r="D7" s="21" t="n">
        <f aca="false">Initiatives!$D$8</f>
        <v>0.35</v>
      </c>
      <c r="E7" s="19" t="n">
        <v>0.5</v>
      </c>
      <c r="F7" s="25" t="n">
        <f aca="false">D7*E7</f>
        <v>0.175</v>
      </c>
      <c r="G7" s="25" t="n">
        <f aca="false">F7*$B$3</f>
        <v>0.0875</v>
      </c>
      <c r="H7" s="25" t="n">
        <f aca="false">F7*$B$4</f>
        <v>0.2625</v>
      </c>
      <c r="I7" s="35" t="n">
        <f aca="false">F7/C7</f>
        <v>1.75</v>
      </c>
    </row>
    <row r="8" customFormat="false" ht="15" hidden="false" customHeight="false" outlineLevel="0" collapsed="false">
      <c r="A8" s="9" t="s">
        <v>254</v>
      </c>
      <c r="B8" s="26" t="n">
        <v>2</v>
      </c>
      <c r="C8" s="21" t="n">
        <f aca="false">Initiatives!$G$6</f>
        <v>0.1</v>
      </c>
      <c r="D8" s="21" t="n">
        <f aca="false">Initiatives!$D$6</f>
        <v>0.5</v>
      </c>
      <c r="E8" s="19" t="n">
        <v>0.25</v>
      </c>
      <c r="F8" s="25" t="n">
        <f aca="false">D8*E8</f>
        <v>0.125</v>
      </c>
      <c r="G8" s="25" t="n">
        <f aca="false">F8*$B$3</f>
        <v>0.0625</v>
      </c>
      <c r="H8" s="25" t="n">
        <f aca="false">F8*$B$4</f>
        <v>0.1875</v>
      </c>
      <c r="I8" s="35" t="n">
        <f aca="false">F8/C8</f>
        <v>1.25</v>
      </c>
    </row>
    <row r="9" customFormat="false" ht="15" hidden="false" customHeight="false" outlineLevel="0" collapsed="false">
      <c r="A9" s="9" t="s">
        <v>255</v>
      </c>
      <c r="B9" s="26" t="n">
        <v>1</v>
      </c>
      <c r="C9" s="21" t="n">
        <f aca="false">Initiatives!$G$5</f>
        <v>0.1</v>
      </c>
      <c r="D9" s="21" t="n">
        <f aca="false">Initiatives!$D$5</f>
        <v>1.2</v>
      </c>
      <c r="E9" s="19" t="n">
        <v>0.1</v>
      </c>
      <c r="F9" s="25" t="n">
        <f aca="false">D9*E9</f>
        <v>0.12</v>
      </c>
      <c r="G9" s="25" t="n">
        <f aca="false">F9*$B$3</f>
        <v>0.06</v>
      </c>
      <c r="H9" s="25" t="n">
        <f aca="false">F9*$B$4</f>
        <v>0.18</v>
      </c>
      <c r="I9" s="35" t="n">
        <f aca="false">F9/C9</f>
        <v>1.2</v>
      </c>
    </row>
    <row r="10" customFormat="false" ht="15" hidden="false" customHeight="false" outlineLevel="0" collapsed="false">
      <c r="A10" s="20" t="s">
        <v>115</v>
      </c>
      <c r="C10" s="22" t="n">
        <f aca="false">SUM(C7:C9)</f>
        <v>0.3</v>
      </c>
      <c r="F10" s="22" t="n">
        <f aca="false">SUM(F7:F9)</f>
        <v>0.42</v>
      </c>
      <c r="G10" s="22" t="n">
        <f aca="false">SUM(G7:G9)</f>
        <v>0.21</v>
      </c>
      <c r="H10" s="22" t="n">
        <f aca="false">SUM(H7:H9)</f>
        <v>0.63</v>
      </c>
      <c r="I10" s="36" t="n">
        <f aca="false">F10/C10</f>
        <v>1.4</v>
      </c>
    </row>
    <row r="12" customFormat="false" ht="15" hidden="false" customHeight="false" outlineLevel="0" collapsed="false">
      <c r="A12" s="20" t="s">
        <v>256</v>
      </c>
      <c r="B12" s="23" t="n">
        <f aca="false">C10/F10</f>
        <v>0.714285714285714</v>
      </c>
    </row>
    <row r="13" customFormat="false" ht="15" hidden="false" customHeight="false" outlineLevel="0" collapsed="false">
      <c r="A13" s="9" t="s">
        <v>257</v>
      </c>
      <c r="B13" s="35" t="n">
        <f aca="false">G10/C10</f>
        <v>0.7</v>
      </c>
    </row>
    <row r="14" customFormat="false" ht="15" hidden="false" customHeight="false" outlineLevel="0" collapsed="false">
      <c r="A14" s="9" t="s">
        <v>258</v>
      </c>
      <c r="B14" s="35" t="n">
        <f aca="false">H10/C10</f>
        <v>2.1</v>
      </c>
    </row>
    <row r="16" customFormat="false" ht="15" hidden="false" customHeight="false" outlineLevel="0" collapsed="false">
      <c r="A16" s="11" t="s">
        <v>259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2026-10-26T13:13:10Z</dcterms:created>
  <dc:creator>openpyxl</dc:creator>
  <dc:description/>
  <dc:language>en-US</dc:language>
  <cp:lastModifiedBy/>
  <dcterms:modified xsi:type="dcterms:W3CDTF">2026-10-26T13:13:10Z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